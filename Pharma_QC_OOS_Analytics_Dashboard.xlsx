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D:\Sreelakshmi extra certificates\Portfolio Projects\GITHUB\"/>
    </mc:Choice>
  </mc:AlternateContent>
  <bookViews>
    <workbookView xWindow="0" yWindow="0" windowWidth="20460" windowHeight="7290" activeTab="3"/>
  </bookViews>
  <sheets>
    <sheet name="Pivot Tables" sheetId="12" r:id="rId1"/>
    <sheet name="pharma_qc_dataset" sheetId="1" r:id="rId2"/>
    <sheet name="Dashboard_Data" sheetId="14" r:id="rId3"/>
    <sheet name="QC Dashboard" sheetId="10" r:id="rId4"/>
  </sheets>
  <externalReferences>
    <externalReference r:id="rId5"/>
  </externalReferences>
  <definedNames>
    <definedName name="Slicer_Analyst_Name">#N/A</definedName>
    <definedName name="Slicer_Product_Name">#N/A</definedName>
    <definedName name="Slicer_Test_Parameter">#N/A</definedName>
  </definedNames>
  <calcPr calcId="152511"/>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A2" i="14" l="1"/>
  <c r="C2" i="14" l="1"/>
  <c r="D2" i="14"/>
</calcChain>
</file>

<file path=xl/sharedStrings.xml><?xml version="1.0" encoding="utf-8"?>
<sst xmlns="http://schemas.openxmlformats.org/spreadsheetml/2006/main" count="1254" uniqueCount="240">
  <si>
    <t>Batch_Number</t>
  </si>
  <si>
    <t>Product_Name</t>
  </si>
  <si>
    <t>Test_Parameter</t>
  </si>
  <si>
    <t>Result_Value</t>
  </si>
  <si>
    <t>Specific_Limit</t>
  </si>
  <si>
    <t>OOS</t>
  </si>
  <si>
    <t>Test_Date</t>
  </si>
  <si>
    <t>Analyst_Name</t>
  </si>
  <si>
    <t>B001</t>
  </si>
  <si>
    <t>Paracetamol 500mg</t>
  </si>
  <si>
    <t>Assay</t>
  </si>
  <si>
    <t>95-105</t>
  </si>
  <si>
    <t>No</t>
  </si>
  <si>
    <t>Ravi Kumar</t>
  </si>
  <si>
    <t>B002</t>
  </si>
  <si>
    <t>Ibuprofen 200mg</t>
  </si>
  <si>
    <t>Dissolution</t>
  </si>
  <si>
    <t>NLT 85</t>
  </si>
  <si>
    <t>Anita Sharma</t>
  </si>
  <si>
    <t>B003</t>
  </si>
  <si>
    <t>Amoxicillin 250mg</t>
  </si>
  <si>
    <t>Impurities</t>
  </si>
  <si>
    <t>NMT 0.2</t>
  </si>
  <si>
    <t>Yes</t>
  </si>
  <si>
    <t>John Mathew</t>
  </si>
  <si>
    <t>B004</t>
  </si>
  <si>
    <t>Cetirizine 10mg</t>
  </si>
  <si>
    <t>pH</t>
  </si>
  <si>
    <t>5.0-7.0</t>
  </si>
  <si>
    <t>Priya Nair</t>
  </si>
  <si>
    <t>B005</t>
  </si>
  <si>
    <t>Metformin 500mg</t>
  </si>
  <si>
    <t>Uniformity</t>
  </si>
  <si>
    <t>NMT 6</t>
  </si>
  <si>
    <t>Arun Das</t>
  </si>
  <si>
    <t>B006</t>
  </si>
  <si>
    <t>B007</t>
  </si>
  <si>
    <t>B008</t>
  </si>
  <si>
    <t>B009</t>
  </si>
  <si>
    <t>B010</t>
  </si>
  <si>
    <t>B011</t>
  </si>
  <si>
    <t>B012</t>
  </si>
  <si>
    <t>B013</t>
  </si>
  <si>
    <t>B014</t>
  </si>
  <si>
    <t>B015</t>
  </si>
  <si>
    <t>B016</t>
  </si>
  <si>
    <t>B017</t>
  </si>
  <si>
    <t>B018</t>
  </si>
  <si>
    <t>B019</t>
  </si>
  <si>
    <t>B020</t>
  </si>
  <si>
    <t>B021</t>
  </si>
  <si>
    <t>B022</t>
  </si>
  <si>
    <t>B023</t>
  </si>
  <si>
    <t>B024</t>
  </si>
  <si>
    <t>B025</t>
  </si>
  <si>
    <t>B026</t>
  </si>
  <si>
    <t>B027</t>
  </si>
  <si>
    <t>B028</t>
  </si>
  <si>
    <t>B029</t>
  </si>
  <si>
    <t>B030</t>
  </si>
  <si>
    <t>B031</t>
  </si>
  <si>
    <t>B032</t>
  </si>
  <si>
    <t>B033</t>
  </si>
  <si>
    <t>B034</t>
  </si>
  <si>
    <t>B035</t>
  </si>
  <si>
    <t>B036</t>
  </si>
  <si>
    <t>B037</t>
  </si>
  <si>
    <t>B038</t>
  </si>
  <si>
    <t>B039</t>
  </si>
  <si>
    <t>B040</t>
  </si>
  <si>
    <t>B041</t>
  </si>
  <si>
    <t>B042</t>
  </si>
  <si>
    <t>B043</t>
  </si>
  <si>
    <t>B044</t>
  </si>
  <si>
    <t>B045</t>
  </si>
  <si>
    <t>B046</t>
  </si>
  <si>
    <t>B047</t>
  </si>
  <si>
    <t>B048</t>
  </si>
  <si>
    <t>B049</t>
  </si>
  <si>
    <t>B050</t>
  </si>
  <si>
    <t>B051</t>
  </si>
  <si>
    <t>B052</t>
  </si>
  <si>
    <t>B053</t>
  </si>
  <si>
    <t>B054</t>
  </si>
  <si>
    <t>B055</t>
  </si>
  <si>
    <t>B056</t>
  </si>
  <si>
    <t>B057</t>
  </si>
  <si>
    <t>B058</t>
  </si>
  <si>
    <t>B059</t>
  </si>
  <si>
    <t>B060</t>
  </si>
  <si>
    <t>B061</t>
  </si>
  <si>
    <t>B062</t>
  </si>
  <si>
    <t>B063</t>
  </si>
  <si>
    <t>B064</t>
  </si>
  <si>
    <t>B065</t>
  </si>
  <si>
    <t>B066</t>
  </si>
  <si>
    <t>B067</t>
  </si>
  <si>
    <t>B068</t>
  </si>
  <si>
    <t>B069</t>
  </si>
  <si>
    <t>B070</t>
  </si>
  <si>
    <t>B071</t>
  </si>
  <si>
    <t>B072</t>
  </si>
  <si>
    <t>B073</t>
  </si>
  <si>
    <t>B074</t>
  </si>
  <si>
    <t>B075</t>
  </si>
  <si>
    <t>B076</t>
  </si>
  <si>
    <t>B077</t>
  </si>
  <si>
    <t>B078</t>
  </si>
  <si>
    <t>B079</t>
  </si>
  <si>
    <t>B080</t>
  </si>
  <si>
    <t>B081</t>
  </si>
  <si>
    <t>B082</t>
  </si>
  <si>
    <t>B083</t>
  </si>
  <si>
    <t>B084</t>
  </si>
  <si>
    <t>B085</t>
  </si>
  <si>
    <t>B086</t>
  </si>
  <si>
    <t>B087</t>
  </si>
  <si>
    <t>B088</t>
  </si>
  <si>
    <t>B089</t>
  </si>
  <si>
    <t>B090</t>
  </si>
  <si>
    <t>B091</t>
  </si>
  <si>
    <t>B092</t>
  </si>
  <si>
    <t>B093</t>
  </si>
  <si>
    <t>B094</t>
  </si>
  <si>
    <t>B095</t>
  </si>
  <si>
    <t>B096</t>
  </si>
  <si>
    <t>B097</t>
  </si>
  <si>
    <t>B098</t>
  </si>
  <si>
    <t>B099</t>
  </si>
  <si>
    <t>B100</t>
  </si>
  <si>
    <t>B101</t>
  </si>
  <si>
    <t>B102</t>
  </si>
  <si>
    <t>B103</t>
  </si>
  <si>
    <t>B104</t>
  </si>
  <si>
    <t>B105</t>
  </si>
  <si>
    <t>B106</t>
  </si>
  <si>
    <t>B107</t>
  </si>
  <si>
    <t>B108</t>
  </si>
  <si>
    <t>B109</t>
  </si>
  <si>
    <t>B110</t>
  </si>
  <si>
    <t>B111</t>
  </si>
  <si>
    <t>B112</t>
  </si>
  <si>
    <t>B113</t>
  </si>
  <si>
    <t>B114</t>
  </si>
  <si>
    <t>B115</t>
  </si>
  <si>
    <t>B116</t>
  </si>
  <si>
    <t>B117</t>
  </si>
  <si>
    <t>B118</t>
  </si>
  <si>
    <t>B119</t>
  </si>
  <si>
    <t>B120</t>
  </si>
  <si>
    <t>B121</t>
  </si>
  <si>
    <t>B122</t>
  </si>
  <si>
    <t>B123</t>
  </si>
  <si>
    <t>B124</t>
  </si>
  <si>
    <t>B125</t>
  </si>
  <si>
    <t>B126</t>
  </si>
  <si>
    <t>B127</t>
  </si>
  <si>
    <t>B128</t>
  </si>
  <si>
    <t>B129</t>
  </si>
  <si>
    <t>B130</t>
  </si>
  <si>
    <t>B131</t>
  </si>
  <si>
    <t>B132</t>
  </si>
  <si>
    <t>B133</t>
  </si>
  <si>
    <t>B134</t>
  </si>
  <si>
    <t>B135</t>
  </si>
  <si>
    <t>B136</t>
  </si>
  <si>
    <t>B137</t>
  </si>
  <si>
    <t>B138</t>
  </si>
  <si>
    <t>B139</t>
  </si>
  <si>
    <t>B140</t>
  </si>
  <si>
    <t>B141</t>
  </si>
  <si>
    <t>B142</t>
  </si>
  <si>
    <t>B143</t>
  </si>
  <si>
    <t>B144</t>
  </si>
  <si>
    <t>B145</t>
  </si>
  <si>
    <t>B146</t>
  </si>
  <si>
    <t>B147</t>
  </si>
  <si>
    <t>B148</t>
  </si>
  <si>
    <t>B149</t>
  </si>
  <si>
    <t>B150</t>
  </si>
  <si>
    <t>B151</t>
  </si>
  <si>
    <t>B152</t>
  </si>
  <si>
    <t>B153</t>
  </si>
  <si>
    <t>B154</t>
  </si>
  <si>
    <t>B155</t>
  </si>
  <si>
    <t>B156</t>
  </si>
  <si>
    <t>B157</t>
  </si>
  <si>
    <t>B158</t>
  </si>
  <si>
    <t>B159</t>
  </si>
  <si>
    <t>B160</t>
  </si>
  <si>
    <t>B161</t>
  </si>
  <si>
    <t>B162</t>
  </si>
  <si>
    <t>B163</t>
  </si>
  <si>
    <t>B164</t>
  </si>
  <si>
    <t>B165</t>
  </si>
  <si>
    <t>B166</t>
  </si>
  <si>
    <t>B167</t>
  </si>
  <si>
    <t>B168</t>
  </si>
  <si>
    <t>B169</t>
  </si>
  <si>
    <t>B170</t>
  </si>
  <si>
    <t>B171</t>
  </si>
  <si>
    <t>B172</t>
  </si>
  <si>
    <t>B173</t>
  </si>
  <si>
    <t>B174</t>
  </si>
  <si>
    <t>B175</t>
  </si>
  <si>
    <t>B176</t>
  </si>
  <si>
    <t>B177</t>
  </si>
  <si>
    <t>B178</t>
  </si>
  <si>
    <t>B179</t>
  </si>
  <si>
    <t>B180</t>
  </si>
  <si>
    <t>B181</t>
  </si>
  <si>
    <t>B182</t>
  </si>
  <si>
    <t>B183</t>
  </si>
  <si>
    <t>B184</t>
  </si>
  <si>
    <t>B185</t>
  </si>
  <si>
    <t>B186</t>
  </si>
  <si>
    <t>B187</t>
  </si>
  <si>
    <t>B188</t>
  </si>
  <si>
    <t>B189</t>
  </si>
  <si>
    <t>B190</t>
  </si>
  <si>
    <t>B191</t>
  </si>
  <si>
    <t>B192</t>
  </si>
  <si>
    <t>B193</t>
  </si>
  <si>
    <t>B194</t>
  </si>
  <si>
    <t>B195</t>
  </si>
  <si>
    <t>B196</t>
  </si>
  <si>
    <t>B197</t>
  </si>
  <si>
    <t>B198</t>
  </si>
  <si>
    <t>B199</t>
  </si>
  <si>
    <t>B200</t>
  </si>
  <si>
    <t>Count of Batch_Number</t>
  </si>
  <si>
    <t>Row Labels</t>
  </si>
  <si>
    <t>Grand Total</t>
  </si>
  <si>
    <t>Total Batches</t>
  </si>
  <si>
    <t>Total tests</t>
  </si>
  <si>
    <t>OOS Rate</t>
  </si>
  <si>
    <t>OOS Count</t>
  </si>
  <si>
    <t>Column Labels</t>
  </si>
  <si>
    <t>OOS (Out of Specification)</t>
  </si>
  <si>
    <t>Within Specification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</si>
</sst>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sz val="18"/>
      <color theme="1"/>
      <name val="Calibri"/>
      <family val="2"/>
      <scheme val="minor"/>
    </font>
    <font>
      <sz val="18"/>
      <color rgb="FFFF0000"/>
      <name val="Calibri"/>
      <family val="2"/>
      <scheme val="minor"/>
    </font>
    <font>
      <sz val="11"/>
      <color theme="1"/>
      <name val="Calibri bold"/>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4">
    <xf numFmtId="0" fontId="0" fillId="0" borderId="0" xfId="0"/>
    <xf numFmtId="14" fontId="0" fillId="0" borderId="0" xfId="0" applyNumberFormat="1"/>
    <xf numFmtId="0" fontId="16" fillId="0" borderId="0" xfId="0" applyFont="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xf>
    <xf numFmtId="0" fontId="0" fillId="0" borderId="0" xfId="0" applyNumberFormat="1" applyAlignment="1">
      <alignment horizontal="center"/>
    </xf>
    <xf numFmtId="0" fontId="18" fillId="0" borderId="0" xfId="0" applyFont="1"/>
    <xf numFmtId="0" fontId="19" fillId="0" borderId="0" xfId="0" applyFont="1"/>
    <xf numFmtId="0" fontId="20" fillId="0" borderId="0" xfId="0" applyFont="1"/>
    <xf numFmtId="164" fontId="19" fillId="8" borderId="8" xfId="15" applyNumberFormat="1" applyFont="1"/>
    <xf numFmtId="0" fontId="0" fillId="33" borderId="0" xfId="0" applyFill="1"/>
    <xf numFmtId="0" fontId="21"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font>
        <strike val="0"/>
        <outline val="0"/>
        <shadow val="0"/>
        <u val="none"/>
        <vertAlign val="baseline"/>
        <sz val="18"/>
        <color theme="1"/>
        <name val="Calibri"/>
        <scheme val="minor"/>
      </font>
      <numFmt numFmtId="164" formatCode="0.0%"/>
    </dxf>
    <dxf>
      <font>
        <strike val="0"/>
        <outline val="0"/>
        <shadow val="0"/>
        <u val="none"/>
        <vertAlign val="baseline"/>
        <sz val="18"/>
        <color rgb="FFFF0000"/>
        <name val="Calibri"/>
        <scheme val="minor"/>
      </font>
    </dxf>
    <dxf>
      <font>
        <strike val="0"/>
        <outline val="0"/>
        <shadow val="0"/>
        <u val="none"/>
        <vertAlign val="baseline"/>
        <sz val="18"/>
        <color theme="1"/>
        <name val="Calibri"/>
        <scheme val="minor"/>
      </font>
    </dxf>
    <dxf>
      <font>
        <strike val="0"/>
        <outline val="0"/>
        <shadow val="0"/>
        <u val="none"/>
        <vertAlign val="baseline"/>
        <sz val="18"/>
        <color theme="1"/>
        <name val="Calibri"/>
        <scheme val="minor"/>
      </font>
    </dxf>
    <dxf>
      <font>
        <strike val="0"/>
        <outline val="0"/>
        <shadow val="0"/>
        <u val="none"/>
        <vertAlign val="baseline"/>
        <sz val="18"/>
        <color theme="1"/>
        <name val="Calibri"/>
        <scheme val="minor"/>
      </font>
    </dxf>
    <dxf>
      <font>
        <b/>
        <i val="0"/>
        <strike val="0"/>
        <condense val="0"/>
        <extend val="0"/>
        <outline val="0"/>
        <shadow val="0"/>
        <u val="none"/>
        <vertAlign val="baseline"/>
        <sz val="12"/>
        <color theme="1"/>
        <name val="Calibri"/>
        <scheme val="minor"/>
      </font>
    </dxf>
    <dxf>
      <numFmt numFmtId="19" formatCode="dd/mm/yyyy"/>
    </dxf>
    <dxf>
      <font>
        <b/>
        <i val="0"/>
        <strike val="0"/>
        <condense val="0"/>
        <extend val="0"/>
        <outline val="0"/>
        <shadow val="0"/>
        <u val="none"/>
        <vertAlign val="baseline"/>
        <sz val="11"/>
        <color theme="1"/>
        <name val="Calibri"/>
        <scheme val="minor"/>
      </font>
    </dxf>
    <dxf>
      <alignment horizontal="center" readingOrder="0"/>
    </dxf>
    <dxf>
      <alignment horizontal="center" readingOrder="0"/>
    </dxf>
    <dxf>
      <alignment horizontal="center" readingOrder="0"/>
    </dxf>
    <dxf>
      <alignment horizontal="center" readingOrder="0"/>
    </dxf>
  </dxfs>
  <tableStyles count="0" defaultTableStyle="TableStyleMedium2" defaultPivotStyle="PivotStyleLight16"/>
  <colors>
    <mruColors>
      <color rgb="FF006699"/>
      <color rgb="FF44546A"/>
      <color rgb="FF57D55A"/>
      <color rgb="FFF34B39"/>
      <color rgb="FFE1F1F5"/>
      <color rgb="FFE6F0FA"/>
      <color rgb="FFB4C8DC"/>
      <color rgb="FF00CC66"/>
      <color rgb="FFB9DE42"/>
      <color rgb="FFF26F3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externalLink" Target="externalLinks/externalLink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[Pharma_QC_OOS_Analytics_Dashboard.xlsx]Pivot Tables!PivotTable3</c:name>
    <c:fmtId val="23"/>
  </c:pivotSource>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r>
              <a:rPr lang="en-US" sz="1400" b="1" i="0" baseline="0">
                <a:solidFill>
                  <a:srgbClr val="44546A"/>
                </a:solidFill>
                <a:effectLst/>
              </a:rPr>
              <a:t>QC TESTING VOLUME BY PRODUCT</a:t>
            </a:r>
            <a:endParaRPr lang="en-IN" sz="1400">
              <a:solidFill>
                <a:srgbClr val="44546A"/>
              </a:solidFill>
              <a:effectLst/>
            </a:endParaRPr>
          </a:p>
        </c:rich>
      </c:tx>
      <c:layout/>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rgbClr val="006699"/>
          </a:soli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0"/>
        <c:spPr>
          <a:solidFill>
            <a:srgbClr val="006699"/>
          </a:solidFill>
          <a:ln>
            <a:noFill/>
          </a:ln>
          <a:effectLst>
            <a:outerShdw blurRad="57150" dist="19050" dir="5400000" algn="ctr" rotWithShape="0">
              <a:srgbClr val="000000">
                <a:alpha val="63000"/>
              </a:srgbClr>
            </a:outerShdw>
          </a:effectLst>
        </c:spPr>
      </c:pivotFmt>
    </c:pivotFmts>
    <c:plotArea>
      <c:layout/>
      <c:barChart>
        <c:barDir val="bar"/>
        <c:grouping val="clustered"/>
        <c:varyColors val="0"/>
        <c:ser>
          <c:idx val="0"/>
          <c:order val="0"/>
          <c:tx>
            <c:strRef>
              <c:f>'Pivot Tables'!$G$12</c:f>
              <c:strCache>
                <c:ptCount val="1"/>
                <c:pt idx="0">
                  <c:v>Total</c:v>
                </c:pt>
              </c:strCache>
            </c:strRef>
          </c:tx>
          <c:spPr>
            <a:solidFill>
              <a:srgbClr val="006699"/>
            </a:solidFill>
            <a:ln>
              <a:noFill/>
            </a:ln>
            <a:effectLst>
              <a:outerShdw blurRad="57150" dist="19050" dir="5400000" algn="ctr" rotWithShape="0">
                <a:srgbClr val="000000">
                  <a:alpha val="63000"/>
                </a:srgbClr>
              </a:outerShdw>
            </a:effectLst>
          </c:spPr>
          <c:invertIfNegative val="0"/>
          <c:dPt>
            <c:idx val="1"/>
            <c:invertIfNegative val="0"/>
            <c:bubble3D val="0"/>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Tables'!$F$13:$F$18</c:f>
              <c:strCache>
                <c:ptCount val="5"/>
                <c:pt idx="0">
                  <c:v>Cetirizine 10mg</c:v>
                </c:pt>
                <c:pt idx="1">
                  <c:v>Ibuprofen 200mg</c:v>
                </c:pt>
                <c:pt idx="2">
                  <c:v>Amoxicillin 250mg</c:v>
                </c:pt>
                <c:pt idx="3">
                  <c:v>Metformin 500mg</c:v>
                </c:pt>
                <c:pt idx="4">
                  <c:v>Paracetamol 500mg</c:v>
                </c:pt>
              </c:strCache>
            </c:strRef>
          </c:cat>
          <c:val>
            <c:numRef>
              <c:f>'Pivot Tables'!$G$13:$G$18</c:f>
              <c:numCache>
                <c:formatCode>General</c:formatCode>
                <c:ptCount val="5"/>
                <c:pt idx="0">
                  <c:v>44</c:v>
                </c:pt>
                <c:pt idx="1">
                  <c:v>43</c:v>
                </c:pt>
                <c:pt idx="2">
                  <c:v>40</c:v>
                </c:pt>
                <c:pt idx="3">
                  <c:v>37</c:v>
                </c:pt>
                <c:pt idx="4">
                  <c:v>36</c:v>
                </c:pt>
              </c:numCache>
            </c:numRef>
          </c:val>
        </c:ser>
        <c:dLbls>
          <c:showLegendKey val="0"/>
          <c:showVal val="0"/>
          <c:showCatName val="0"/>
          <c:showSerName val="0"/>
          <c:showPercent val="0"/>
          <c:showBubbleSize val="0"/>
        </c:dLbls>
        <c:gapWidth val="115"/>
        <c:overlap val="-20"/>
        <c:axId val="-993295280"/>
        <c:axId val="-993294736"/>
      </c:barChart>
      <c:catAx>
        <c:axId val="-99329528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294736"/>
        <c:crosses val="autoZero"/>
        <c:auto val="1"/>
        <c:lblAlgn val="ctr"/>
        <c:lblOffset val="100"/>
        <c:noMultiLvlLbl val="0"/>
      </c:catAx>
      <c:valAx>
        <c:axId val="-9932947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29528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[Pharma_QC_OOS_Analytics_Dashboard.xlsx]Pivot Tables!PivotTable4</c:name>
    <c:fmtId val="28"/>
  </c:pivotSource>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1" i="0" u="none" strike="noStrike" kern="1200" baseline="0">
                <a:solidFill>
                  <a:srgbClr val="44546A"/>
                </a:solidFill>
                <a:latin typeface="+mn-lt"/>
                <a:ea typeface="+mn-ea"/>
                <a:cs typeface="+mn-cs"/>
              </a:defRPr>
            </a:pPr>
            <a:r>
              <a:rPr lang="en-US" sz="1400" b="1" i="0" baseline="0">
                <a:solidFill>
                  <a:srgbClr val="44546A"/>
                </a:solidFill>
                <a:effectLst/>
              </a:rPr>
              <a:t>OUT-OF-SPECIFICATION (OOS) DISTRIBUTION</a:t>
            </a:r>
            <a:endParaRPr lang="en-IN" sz="1400">
              <a:solidFill>
                <a:srgbClr val="44546A"/>
              </a:solidFill>
              <a:effectLst/>
            </a:endParaRPr>
          </a:p>
        </c:rich>
      </c:tx>
      <c:layout/>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1" i="0" u="none" strike="noStrike" kern="1200" baseline="0">
              <a:solidFill>
                <a:srgbClr val="44546A"/>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fld id="{349B219C-2246-4E66-B1B7-B81C4382C856}" type="PERCENTAGE">
                  <a:rPr lang="en-US"/>
                  <a:pPr>
                    <a:defRPr sz="900" b="1" i="0" u="none" strike="noStrike" kern="1200" baseline="0">
                      <a:solidFill>
                        <a:schemeClr val="tx2"/>
                      </a:solidFill>
                      <a:latin typeface="+mn-lt"/>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fld id="{3983D34A-3227-481E-8628-F7FD4E4CF683}" type="PERCENTAGE">
                  <a:rPr lang="en-US"/>
                  <a:pPr>
                    <a:defRPr sz="900" b="1" i="0" u="none" strike="noStrike" kern="1200" baseline="0">
                      <a:solidFill>
                        <a:schemeClr val="tx2"/>
                      </a:solidFill>
                      <a:latin typeface="+mn-lt"/>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fld id="{349B219C-2246-4E66-B1B7-B81C4382C856}" type="PERCENTAGE">
                  <a:rPr lang="en-US"/>
                  <a:pPr>
                    <a:defRPr sz="900" b="1" i="0" u="none" strike="noStrike" kern="1200" baseline="0">
                      <a:solidFill>
                        <a:schemeClr val="tx2"/>
                      </a:solidFill>
                      <a:latin typeface="+mn-lt"/>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fld id="{3983D34A-3227-481E-8628-F7FD4E4CF683}" type="PERCENTAGE">
                  <a:rPr lang="en-US"/>
                  <a:pPr>
                    <a:defRPr sz="900" b="1" i="0" u="none" strike="noStrike" kern="1200" baseline="0">
                      <a:solidFill>
                        <a:schemeClr val="tx2"/>
                      </a:solidFill>
                      <a:latin typeface="+mn-lt"/>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15:layout/>
            </c:ext>
          </c:extLst>
        </c:dLbl>
      </c:pivotFmt>
      <c:pivotFmt>
        <c:idx val="19"/>
        <c:spPr>
          <a:solidFill>
            <a:srgbClr val="57D55A"/>
          </a:solidFill>
          <a:ln>
            <a:noFill/>
          </a:ln>
          <a:effectLst/>
        </c:spPr>
      </c:pivotFmt>
      <c:pivotFmt>
        <c:idx val="20"/>
        <c:spPr>
          <a:solidFill>
            <a:srgbClr val="F34B39"/>
          </a:solidFill>
          <a:ln>
            <a:noFill/>
          </a:ln>
          <a:effectLst/>
        </c:spPr>
      </c:pivotFmt>
    </c:pivotFmts>
    <c:plotArea>
      <c:layout/>
      <c:pieChart>
        <c:varyColors val="1"/>
        <c:ser>
          <c:idx val="0"/>
          <c:order val="0"/>
          <c:tx>
            <c:strRef>
              <c:f>'Pivot Tables'!$G$3</c:f>
              <c:strCache>
                <c:ptCount val="1"/>
                <c:pt idx="0">
                  <c:v>Total</c:v>
                </c:pt>
              </c:strCache>
            </c:strRef>
          </c:tx>
          <c:dPt>
            <c:idx val="0"/>
            <c:bubble3D val="0"/>
            <c:spPr>
              <a:solidFill>
                <a:srgbClr val="57D55A"/>
              </a:solidFill>
              <a:ln>
                <a:noFill/>
              </a:ln>
              <a:effectLst/>
            </c:spPr>
          </c:dPt>
          <c:dPt>
            <c:idx val="1"/>
            <c:bubble3D val="0"/>
            <c:spPr>
              <a:solidFill>
                <a:srgbClr val="F34B39"/>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15:layout/>
              </c:ext>
            </c:extLst>
          </c:dLbls>
          <c:cat>
            <c:strRef>
              <c:f>'Pivot Tables'!$F$4:$F$6</c:f>
              <c:strCache>
                <c:ptCount val="2"/>
                <c:pt idx="0">
                  <c:v>Within Specification</c:v>
                </c:pt>
                <c:pt idx="1">
                  <c:v>OOS (Out of Specification)</c:v>
                </c:pt>
              </c:strCache>
            </c:strRef>
          </c:cat>
          <c:val>
            <c:numRef>
              <c:f>'Pivot Tables'!$G$4:$G$6</c:f>
              <c:numCache>
                <c:formatCode>General</c:formatCode>
                <c:ptCount val="2"/>
                <c:pt idx="0">
                  <c:v>167</c:v>
                </c:pt>
                <c:pt idx="1">
                  <c:v>33</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[Pharma_QC_OOS_Analytics_Dashboard.xlsx]Pivot Tables!PivotTable5</c:name>
    <c:fmtId val="29"/>
  </c:pivotSource>
  <c:chart>
    <c:title>
      <c:tx>
        <c:rich>
          <a:bodyPr rot="0" spcFirstLastPara="1" vertOverflow="ellipsis" vert="horz" wrap="square" anchor="ctr" anchorCtr="1"/>
          <a:lstStyle/>
          <a:p>
            <a:pPr>
              <a:defRPr sz="1400" b="1" i="0" u="none" strike="noStrike" kern="1200" baseline="0">
                <a:solidFill>
                  <a:srgbClr val="44546A"/>
                </a:solidFill>
                <a:latin typeface="+mn-lt"/>
                <a:ea typeface="+mn-ea"/>
                <a:cs typeface="+mn-cs"/>
              </a:defRPr>
            </a:pPr>
            <a:r>
              <a:rPr lang="en-US" sz="1400">
                <a:solidFill>
                  <a:srgbClr val="44546A"/>
                </a:solidFill>
              </a:rPr>
              <a:t>QC TESTS BY PARAMETER </a:t>
            </a:r>
          </a:p>
        </c:rich>
      </c:tx>
      <c:layout>
        <c:manualLayout>
          <c:xMode val="edge"/>
          <c:yMode val="edge"/>
          <c:x val="0.3133273174304248"/>
          <c:y val="0.10606243239066605"/>
        </c:manualLayout>
      </c:layout>
      <c:overlay val="0"/>
      <c:spPr>
        <a:noFill/>
        <a:ln>
          <a:noFill/>
        </a:ln>
        <a:effectLst/>
      </c:spPr>
      <c:txPr>
        <a:bodyPr rot="0" spcFirstLastPara="1" vertOverflow="ellipsis" vert="horz" wrap="square" anchor="ctr" anchorCtr="1"/>
        <a:lstStyle/>
        <a:p>
          <a:pPr>
            <a:defRPr sz="1400" b="1" i="0" u="none" strike="noStrike" kern="1200" baseline="0">
              <a:solidFill>
                <a:srgbClr val="44546A"/>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6699"/>
          </a:soli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Tables'!$B$12</c:f>
              <c:strCache>
                <c:ptCount val="1"/>
                <c:pt idx="0">
                  <c:v>Total</c:v>
                </c:pt>
              </c:strCache>
            </c:strRef>
          </c:tx>
          <c:spPr>
            <a:solidFill>
              <a:srgbClr val="006699"/>
            </a:solidFill>
            <a:ln>
              <a:noFill/>
            </a:ln>
            <a:effectLst>
              <a:outerShdw blurRad="57150" dist="19050" dir="5400000" algn="ctr" rotWithShape="0">
                <a:srgbClr val="000000">
                  <a:alpha val="63000"/>
                </a:srgbClr>
              </a:outerShdw>
            </a:effectLst>
          </c:spPr>
          <c:invertIfNegative val="0"/>
          <c:dPt>
            <c:idx val="0"/>
            <c:invertIfNegative val="0"/>
            <c:bubble3D val="0"/>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Tables'!$A$13:$A$18</c:f>
              <c:strCache>
                <c:ptCount val="5"/>
                <c:pt idx="0">
                  <c:v>Assay</c:v>
                </c:pt>
                <c:pt idx="1">
                  <c:v>Dissolution</c:v>
                </c:pt>
                <c:pt idx="2">
                  <c:v>Impurities</c:v>
                </c:pt>
                <c:pt idx="3">
                  <c:v>pH</c:v>
                </c:pt>
                <c:pt idx="4">
                  <c:v>Uniformity</c:v>
                </c:pt>
              </c:strCache>
            </c:strRef>
          </c:cat>
          <c:val>
            <c:numRef>
              <c:f>'Pivot Tables'!$B$13:$B$18</c:f>
              <c:numCache>
                <c:formatCode>General</c:formatCode>
                <c:ptCount val="5"/>
                <c:pt idx="0">
                  <c:v>44</c:v>
                </c:pt>
                <c:pt idx="1">
                  <c:v>39</c:v>
                </c:pt>
                <c:pt idx="2">
                  <c:v>39</c:v>
                </c:pt>
                <c:pt idx="3">
                  <c:v>39</c:v>
                </c:pt>
                <c:pt idx="4">
                  <c:v>39</c:v>
                </c:pt>
              </c:numCache>
            </c:numRef>
          </c:val>
        </c:ser>
        <c:dLbls>
          <c:dLblPos val="inEnd"/>
          <c:showLegendKey val="0"/>
          <c:showVal val="1"/>
          <c:showCatName val="0"/>
          <c:showSerName val="0"/>
          <c:showPercent val="0"/>
          <c:showBubbleSize val="0"/>
        </c:dLbls>
        <c:gapWidth val="100"/>
        <c:overlap val="-24"/>
        <c:axId val="-825378480"/>
        <c:axId val="-825377936"/>
      </c:barChart>
      <c:catAx>
        <c:axId val="-82537848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5377936"/>
        <c:crosses val="autoZero"/>
        <c:auto val="1"/>
        <c:lblAlgn val="ctr"/>
        <c:lblOffset val="100"/>
        <c:noMultiLvlLbl val="0"/>
      </c:catAx>
      <c:valAx>
        <c:axId val="-8253779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537848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[Pharma_QC_OOS_Analytics_Dashboard.xlsx]Pivot Tables!PivotTable6</c:name>
    <c:fmtId val="21"/>
  </c:pivotSource>
  <c:chart>
    <c:title>
      <c:tx>
        <c:rich>
          <a:bodyPr rot="0" spcFirstLastPara="1" vertOverflow="ellipsis" vert="horz" wrap="square" anchor="ctr" anchorCtr="1"/>
          <a:lstStyle/>
          <a:p>
            <a:pPr>
              <a:defRPr sz="1400" b="1" i="0" u="none" strike="noStrike" kern="1200" spc="0" baseline="0">
                <a:solidFill>
                  <a:srgbClr val="44546A"/>
                </a:solidFill>
                <a:latin typeface="+mn-lt"/>
                <a:ea typeface="+mn-ea"/>
                <a:cs typeface="+mn-cs"/>
              </a:defRPr>
            </a:pPr>
            <a:r>
              <a:rPr lang="en-US" b="1">
                <a:solidFill>
                  <a:srgbClr val="44546A"/>
                </a:solidFill>
              </a:rPr>
              <a:t>ANALYST TESTING ACTIVITY</a:t>
            </a:r>
          </a:p>
        </c:rich>
      </c:tx>
      <c:layout>
        <c:manualLayout>
          <c:xMode val="edge"/>
          <c:yMode val="edge"/>
          <c:x val="0.36051658296714795"/>
          <c:y val="9.704836964920414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44546A"/>
              </a:solidFill>
              <a:latin typeface="+mn-lt"/>
              <a:ea typeface="+mn-ea"/>
              <a:cs typeface="+mn-cs"/>
            </a:defRPr>
          </a:pPr>
          <a:endParaRPr lang="en-US"/>
        </a:p>
      </c:txPr>
    </c:title>
    <c:autoTitleDeleted val="0"/>
    <c:pivotFmts>
      <c:pivotFmt>
        <c:idx val="0"/>
      </c:pivotFmt>
      <c:pivotFmt>
        <c:idx val="1"/>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3.9126626791836663E-2"/>
              <c:y val="-8.3964508623033332E-17"/>
            </c:manualLayout>
          </c:layout>
          <c:tx>
            <c:rich>
              <a:bodyPr/>
              <a:lstStyle/>
              <a:p>
                <a:r>
                  <a:rPr lang="en-US" baseline="0">
                    <a:solidFill>
                      <a:schemeClr val="tx1">
                        <a:lumMod val="95000"/>
                        <a:lumOff val="5000"/>
                      </a:schemeClr>
                    </a:solidFill>
                  </a:rPr>
                  <a:t> </a:t>
                </a:r>
                <a:fld id="{F3FF2DBA-F9BA-45CC-A5FB-FBDDEC021C51}" type="VALUE">
                  <a:rPr lang="en-US" baseline="0">
                    <a:solidFill>
                      <a:schemeClr val="tx1">
                        <a:lumMod val="95000"/>
                        <a:lumOff val="5000"/>
                      </a:schemeClr>
                    </a:solidFill>
                  </a:rPr>
                  <a:pPr/>
                  <a:t>[VALUE]</a:t>
                </a:fld>
                <a:endParaRPr lang="en-US" baseline="0">
                  <a:solidFill>
                    <a:schemeClr val="tx1">
                      <a:lumMod val="95000"/>
                      <a:lumOff val="5000"/>
                    </a:schemeClr>
                  </a:solidFill>
                </a:endParaRPr>
              </a:p>
            </c:rich>
          </c:tx>
          <c:showLegendKey val="1"/>
          <c:showVal val="1"/>
          <c:showCatName val="1"/>
          <c:showSerName val="1"/>
          <c:showPercent val="1"/>
          <c:showBubbleSize val="1"/>
          <c:extLst>
            <c:ext xmlns:c15="http://schemas.microsoft.com/office/drawing/2012/chart" uri="{CE6537A1-D6FC-4f65-9D91-7224C49458BB}">
              <c15:dlblFieldTable/>
              <c15:showDataLabelsRange val="0"/>
            </c:ext>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3.9126626791836663E-2"/>
              <c:y val="-8.3964508623033332E-17"/>
            </c:manualLayout>
          </c:layout>
          <c:tx>
            <c:rich>
              <a:bodyPr/>
              <a:lstStyle/>
              <a:p>
                <a:r>
                  <a:rPr lang="en-US" baseline="0">
                    <a:solidFill>
                      <a:schemeClr val="tx1">
                        <a:lumMod val="95000"/>
                        <a:lumOff val="5000"/>
                      </a:schemeClr>
                    </a:solidFill>
                  </a:rPr>
                  <a:t> </a:t>
                </a:r>
                <a:fld id="{F3FF2DBA-F9BA-45CC-A5FB-FBDDEC021C51}" type="VALUE">
                  <a:rPr lang="en-US" baseline="0">
                    <a:solidFill>
                      <a:schemeClr val="tx1">
                        <a:lumMod val="95000"/>
                        <a:lumOff val="5000"/>
                      </a:schemeClr>
                    </a:solidFill>
                  </a:rPr>
                  <a:pPr/>
                  <a:t>[VALUE]</a:t>
                </a:fld>
                <a:endParaRPr lang="en-US" baseline="0">
                  <a:solidFill>
                    <a:schemeClr val="tx1">
                      <a:lumMod val="95000"/>
                      <a:lumOff val="5000"/>
                    </a:schemeClr>
                  </a:solidFill>
                </a:endParaRPr>
              </a:p>
            </c:rich>
          </c:tx>
          <c:showLegendKey val="1"/>
          <c:showVal val="1"/>
          <c:showCatName val="1"/>
          <c:showSerName val="1"/>
          <c:showPercent val="1"/>
          <c:showBubbleSize val="1"/>
          <c:extLst>
            <c:ext xmlns:c15="http://schemas.microsoft.com/office/drawing/2012/chart" uri="{CE6537A1-D6FC-4f65-9D91-7224C49458BB}">
              <c15:dlblFieldTable/>
              <c15:showDataLabelsRange val="0"/>
            </c:ext>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3.9126626791836663E-2"/>
              <c:y val="-8.3964508623033332E-17"/>
            </c:manualLayout>
          </c:layout>
          <c:tx>
            <c:rich>
              <a:bodyPr/>
              <a:lstStyle/>
              <a:p>
                <a:r>
                  <a:rPr lang="en-US" b="1"/>
                  <a:t> </a:t>
                </a:r>
                <a:fld id="{F3FF2DBA-F9BA-45CC-A5FB-FBDDEC021C51}" type="VALUE">
                  <a:rPr lang="en-US" b="1"/>
                  <a:pPr/>
                  <a:t>[VALUE]</a:t>
                </a:fld>
                <a:endParaRPr lang="en-US" b="1"/>
              </a:p>
            </c:rich>
          </c:tx>
          <c:showLegendKey val="1"/>
          <c:showVal val="1"/>
          <c:showCatName val="1"/>
          <c:showSerName val="1"/>
          <c:showPercent val="1"/>
          <c:showBubbleSize val="1"/>
          <c:extLst>
            <c:ext xmlns:c15="http://schemas.microsoft.com/office/drawing/2012/chart" uri="{CE6537A1-D6FC-4f65-9D91-7224C49458BB}">
              <c15:dlblFieldTable/>
              <c15:showDataLabelsRange val="0"/>
            </c:ext>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3.9126626791836663E-2"/>
              <c:y val="-8.3964508623033332E-17"/>
            </c:manualLayout>
          </c:layout>
          <c:tx>
            <c:rich>
              <a:bodyPr/>
              <a:lstStyle/>
              <a:p>
                <a:r>
                  <a:rPr lang="en-US" b="1"/>
                  <a:t> </a:t>
                </a:r>
                <a:fld id="{F3FF2DBA-F9BA-45CC-A5FB-FBDDEC021C51}" type="VALUE">
                  <a:rPr lang="en-US" b="1"/>
                  <a:pPr/>
                  <a:t>[VALUE]</a:t>
                </a:fld>
                <a:endParaRPr lang="en-US" b="1"/>
              </a:p>
            </c:rich>
          </c:tx>
          <c:showLegendKey val="1"/>
          <c:showVal val="1"/>
          <c:showCatName val="1"/>
          <c:showSerName val="1"/>
          <c:showPercent val="1"/>
          <c:showBubbleSize val="1"/>
          <c:extLst>
            <c:ext xmlns:c15="http://schemas.microsoft.com/office/drawing/2012/chart" uri="{CE6537A1-D6FC-4f65-9D91-7224C49458BB}">
              <c15:dlblFieldTable/>
              <c15:showDataLabelsRange val="0"/>
            </c:ext>
          </c:extLst>
        </c:dLbl>
      </c:pivotFmt>
      <c:pivotFmt>
        <c:idx val="10"/>
        <c:spPr>
          <a:solidFill>
            <a:srgbClr val="006699"/>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1"/>
        <c:spPr>
          <a:solidFill>
            <a:srgbClr val="006699"/>
          </a:solidFill>
          <a:ln>
            <a:noFill/>
          </a:ln>
          <a:effectLst/>
        </c:spPr>
      </c:pivotFmt>
    </c:pivotFmts>
    <c:plotArea>
      <c:layout>
        <c:manualLayout>
          <c:layoutTarget val="inner"/>
          <c:xMode val="edge"/>
          <c:yMode val="edge"/>
          <c:x val="0.39500684385879203"/>
          <c:y val="0.21704925954709128"/>
          <c:w val="0.27495871645550912"/>
          <c:h val="0.61382919208648523"/>
        </c:manualLayout>
      </c:layout>
      <c:barChart>
        <c:barDir val="bar"/>
        <c:grouping val="clustered"/>
        <c:varyColors val="0"/>
        <c:ser>
          <c:idx val="0"/>
          <c:order val="0"/>
          <c:tx>
            <c:strRef>
              <c:f>'Pivot Tables'!$J$3</c:f>
              <c:strCache>
                <c:ptCount val="1"/>
                <c:pt idx="0">
                  <c:v>Total</c:v>
                </c:pt>
              </c:strCache>
            </c:strRef>
          </c:tx>
          <c:spPr>
            <a:solidFill>
              <a:srgbClr val="006699"/>
            </a:solidFill>
            <a:ln>
              <a:noFill/>
            </a:ln>
            <a:effectLst/>
          </c:spPr>
          <c:invertIfNegative val="0"/>
          <c:dPt>
            <c:idx val="0"/>
            <c:invertIfNegative val="0"/>
            <c:bubble3D val="0"/>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Tables'!$I$4:$I$9</c:f>
              <c:strCache>
                <c:ptCount val="5"/>
                <c:pt idx="0">
                  <c:v>Anita Sharma</c:v>
                </c:pt>
                <c:pt idx="1">
                  <c:v>John Mathew</c:v>
                </c:pt>
                <c:pt idx="2">
                  <c:v>Priya Nair</c:v>
                </c:pt>
                <c:pt idx="3">
                  <c:v>Ravi Kumar</c:v>
                </c:pt>
                <c:pt idx="4">
                  <c:v>Arun Das</c:v>
                </c:pt>
              </c:strCache>
            </c:strRef>
          </c:cat>
          <c:val>
            <c:numRef>
              <c:f>'Pivot Tables'!$J$4:$J$9</c:f>
              <c:numCache>
                <c:formatCode>General</c:formatCode>
                <c:ptCount val="5"/>
                <c:pt idx="0">
                  <c:v>44</c:v>
                </c:pt>
                <c:pt idx="1">
                  <c:v>43</c:v>
                </c:pt>
                <c:pt idx="2">
                  <c:v>39</c:v>
                </c:pt>
                <c:pt idx="3">
                  <c:v>38</c:v>
                </c:pt>
                <c:pt idx="4">
                  <c:v>36</c:v>
                </c:pt>
              </c:numCache>
            </c:numRef>
          </c:val>
        </c:ser>
        <c:dLbls>
          <c:dLblPos val="outEnd"/>
          <c:showLegendKey val="0"/>
          <c:showVal val="1"/>
          <c:showCatName val="0"/>
          <c:showSerName val="0"/>
          <c:showPercent val="0"/>
          <c:showBubbleSize val="0"/>
        </c:dLbls>
        <c:gapWidth val="182"/>
        <c:axId val="-825375760"/>
        <c:axId val="-825365424"/>
      </c:barChart>
      <c:catAx>
        <c:axId val="-825375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5365424"/>
        <c:crosses val="autoZero"/>
        <c:auto val="1"/>
        <c:lblAlgn val="ctr"/>
        <c:lblOffset val="100"/>
        <c:noMultiLvlLbl val="0"/>
      </c:catAx>
      <c:valAx>
        <c:axId val="-8253654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537576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[Pharma_QC_OOS_Analytics_Dashboard.xlsx]Pivot Tables!PivotTable1</c:name>
    <c:fmtId val="23"/>
  </c:pivotSource>
  <c:chart>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IN" sz="1400">
                <a:solidFill>
                  <a:srgbClr val="44546A"/>
                </a:solidFill>
              </a:rPr>
              <a:t>OOS DISTRIBUTION</a:t>
            </a:r>
          </a:p>
        </c:rich>
      </c:tx>
      <c:layout>
        <c:manualLayout>
          <c:xMode val="edge"/>
          <c:yMode val="edge"/>
          <c:x val="0.40021502070512899"/>
          <c:y val="8.0412198112576216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06699"/>
          </a:soli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ext>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8.5138445626518872E-2"/>
          <c:y val="0.25140839805862464"/>
          <c:w val="0.7532453984075278"/>
          <c:h val="0.41651395842757799"/>
        </c:manualLayout>
      </c:layout>
      <c:barChart>
        <c:barDir val="col"/>
        <c:grouping val="stacked"/>
        <c:varyColors val="0"/>
        <c:ser>
          <c:idx val="0"/>
          <c:order val="0"/>
          <c:tx>
            <c:strRef>
              <c:f>'Pivot Tables'!$B$3:$B$4</c:f>
              <c:strCache>
                <c:ptCount val="1"/>
                <c:pt idx="0">
                  <c:v>No</c:v>
                </c:pt>
              </c:strCache>
            </c:strRef>
          </c:tx>
          <c:spPr>
            <a:solidFill>
              <a:srgbClr val="006699"/>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Tables'!$A$5:$A$10</c:f>
              <c:strCache>
                <c:ptCount val="5"/>
                <c:pt idx="0">
                  <c:v>Assay</c:v>
                </c:pt>
                <c:pt idx="1">
                  <c:v>Dissolution</c:v>
                </c:pt>
                <c:pt idx="2">
                  <c:v>Impurities</c:v>
                </c:pt>
                <c:pt idx="3">
                  <c:v>pH</c:v>
                </c:pt>
                <c:pt idx="4">
                  <c:v>Uniformity</c:v>
                </c:pt>
              </c:strCache>
            </c:strRef>
          </c:cat>
          <c:val>
            <c:numRef>
              <c:f>'Pivot Tables'!$B$5:$B$10</c:f>
              <c:numCache>
                <c:formatCode>General</c:formatCode>
                <c:ptCount val="5"/>
                <c:pt idx="0">
                  <c:v>42</c:v>
                </c:pt>
                <c:pt idx="1">
                  <c:v>38</c:v>
                </c:pt>
                <c:pt idx="2">
                  <c:v>25</c:v>
                </c:pt>
                <c:pt idx="3">
                  <c:v>34</c:v>
                </c:pt>
                <c:pt idx="4">
                  <c:v>28</c:v>
                </c:pt>
              </c:numCache>
            </c:numRef>
          </c:val>
        </c:ser>
        <c:ser>
          <c:idx val="1"/>
          <c:order val="1"/>
          <c:tx>
            <c:strRef>
              <c:f>'Pivot Tables'!$C$3:$C$4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Tables'!$A$5:$A$10</c:f>
              <c:strCache>
                <c:ptCount val="5"/>
                <c:pt idx="0">
                  <c:v>Assay</c:v>
                </c:pt>
                <c:pt idx="1">
                  <c:v>Dissolution</c:v>
                </c:pt>
                <c:pt idx="2">
                  <c:v>Impurities</c:v>
                </c:pt>
                <c:pt idx="3">
                  <c:v>pH</c:v>
                </c:pt>
                <c:pt idx="4">
                  <c:v>Uniformity</c:v>
                </c:pt>
              </c:strCache>
            </c:strRef>
          </c:cat>
          <c:val>
            <c:numRef>
              <c:f>'Pivot Tables'!$C$5:$C$10</c:f>
              <c:numCache>
                <c:formatCode>General</c:formatCode>
                <c:ptCount val="5"/>
                <c:pt idx="0">
                  <c:v>2</c:v>
                </c:pt>
                <c:pt idx="1">
                  <c:v>1</c:v>
                </c:pt>
                <c:pt idx="2">
                  <c:v>14</c:v>
                </c:pt>
                <c:pt idx="3">
                  <c:v>5</c:v>
                </c:pt>
                <c:pt idx="4">
                  <c:v>11</c:v>
                </c:pt>
              </c:numCache>
            </c:numRef>
          </c:val>
        </c:ser>
        <c:dLbls>
          <c:dLblPos val="inBase"/>
          <c:showLegendKey val="0"/>
          <c:showVal val="1"/>
          <c:showCatName val="0"/>
          <c:showSerName val="0"/>
          <c:showPercent val="0"/>
          <c:showBubbleSize val="0"/>
        </c:dLbls>
        <c:gapWidth val="100"/>
        <c:overlap val="100"/>
        <c:axId val="-825364880"/>
        <c:axId val="-825364336"/>
      </c:barChart>
      <c:catAx>
        <c:axId val="-82536488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5364336"/>
        <c:crosses val="autoZero"/>
        <c:auto val="1"/>
        <c:lblAlgn val="ctr"/>
        <c:lblOffset val="100"/>
        <c:noMultiLvlLbl val="0"/>
      </c:catAx>
      <c:valAx>
        <c:axId val="-8253643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53648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20</xdr:col>
      <xdr:colOff>177800</xdr:colOff>
      <xdr:row>11</xdr:row>
      <xdr:rowOff>114300</xdr:rowOff>
    </xdr:from>
    <xdr:ext cx="184731" cy="264560"/>
    <xdr:sp macro="" textlink="">
      <xdr:nvSpPr>
        <xdr:cNvPr id="14" name="TextBox 13"/>
        <xdr:cNvSpPr txBox="1"/>
      </xdr:nvSpPr>
      <xdr:spPr>
        <a:xfrm>
          <a:off x="16628836" y="2019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9</xdr:col>
      <xdr:colOff>465174</xdr:colOff>
      <xdr:row>15</xdr:row>
      <xdr:rowOff>7047</xdr:rowOff>
    </xdr:from>
    <xdr:to>
      <xdr:col>19</xdr:col>
      <xdr:colOff>205604</xdr:colOff>
      <xdr:row>30</xdr:row>
      <xdr:rowOff>141973</xdr:rowOff>
    </xdr:to>
    <xdr:graphicFrame macro="">
      <xdr:nvGraphicFramePr>
        <xdr:cNvPr id="102" name="Chart 10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55377</xdr:colOff>
      <xdr:row>45</xdr:row>
      <xdr:rowOff>81650</xdr:rowOff>
    </xdr:from>
    <xdr:to>
      <xdr:col>19</xdr:col>
      <xdr:colOff>223635</xdr:colOff>
      <xdr:row>51</xdr:row>
      <xdr:rowOff>168741</xdr:rowOff>
    </xdr:to>
    <mc:AlternateContent xmlns:mc="http://schemas.openxmlformats.org/markup-compatibility/2006" xmlns:a14="http://schemas.microsoft.com/office/drawing/2010/main">
      <mc:Choice Requires="a14">
        <xdr:graphicFrame macro="">
          <xdr:nvGraphicFramePr>
            <xdr:cNvPr id="108" name="Analyst_Name 2"/>
            <xdr:cNvGraphicFramePr/>
          </xdr:nvGraphicFramePr>
          <xdr:xfrm>
            <a:off x="0" y="0"/>
            <a:ext cx="0" cy="0"/>
          </xdr:xfrm>
          <a:graphic>
            <a:graphicData uri="http://schemas.microsoft.com/office/drawing/2010/slicer">
              <sle:slicer xmlns:sle="http://schemas.microsoft.com/office/drawing/2010/slicer" name="Analyst_Name 2"/>
            </a:graphicData>
          </a:graphic>
        </xdr:graphicFrame>
      </mc:Choice>
      <mc:Fallback xmlns="">
        <xdr:sp macro="" textlink="">
          <xdr:nvSpPr>
            <xdr:cNvPr id="0" name=""/>
            <xdr:cNvSpPr>
              <a:spLocks noTextEdit="1"/>
            </xdr:cNvSpPr>
          </xdr:nvSpPr>
          <xdr:spPr>
            <a:xfrm>
              <a:off x="7974418" y="8554470"/>
              <a:ext cx="3823200" cy="1216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99679</xdr:colOff>
      <xdr:row>15</xdr:row>
      <xdr:rowOff>22152</xdr:rowOff>
    </xdr:from>
    <xdr:to>
      <xdr:col>9</xdr:col>
      <xdr:colOff>442066</xdr:colOff>
      <xdr:row>30</xdr:row>
      <xdr:rowOff>157078</xdr:rowOff>
    </xdr:to>
    <xdr:graphicFrame macro="">
      <xdr:nvGraphicFramePr>
        <xdr:cNvPr id="111" name="Chart 1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0</xdr:col>
      <xdr:colOff>184668</xdr:colOff>
      <xdr:row>5</xdr:row>
      <xdr:rowOff>156871</xdr:rowOff>
    </xdr:from>
    <xdr:ext cx="2160000" cy="1080000"/>
    <xdr:sp macro="" textlink="Dashboard_Data!A2">
      <xdr:nvSpPr>
        <xdr:cNvPr id="113" name="TextBox 112"/>
        <xdr:cNvSpPr txBox="1"/>
      </xdr:nvSpPr>
      <xdr:spPr>
        <a:xfrm>
          <a:off x="184668" y="1098295"/>
          <a:ext cx="2160000" cy="1080000"/>
        </a:xfrm>
        <a:prstGeom prst="rect">
          <a:avLst/>
        </a:prstGeom>
        <a:solidFill>
          <a:srgbClr val="E6F0FA"/>
        </a:solidFill>
        <a:ln w="28575">
          <a:solidFill>
            <a:srgbClr val="B4C8DC"/>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noAutofit/>
        </a:bodyPr>
        <a:lstStyle/>
        <a:p>
          <a:pPr algn="ctr"/>
          <a:fld id="{AF3D0A10-9FC8-4641-BBAE-48EC7DA94267}" type="TxLink">
            <a:rPr lang="en-US" sz="2800" b="1" i="0" u="none" strike="noStrike">
              <a:solidFill>
                <a:srgbClr val="000000"/>
              </a:solidFill>
              <a:latin typeface="Calibri"/>
            </a:rPr>
            <a:pPr algn="ctr"/>
            <a:t>200</a:t>
          </a:fld>
          <a:endParaRPr lang="en-IN" sz="2800" b="1"/>
        </a:p>
      </xdr:txBody>
    </xdr:sp>
    <xdr:clientData/>
  </xdr:oneCellAnchor>
  <xdr:oneCellAnchor>
    <xdr:from>
      <xdr:col>5</xdr:col>
      <xdr:colOff>245608</xdr:colOff>
      <xdr:row>5</xdr:row>
      <xdr:rowOff>156871</xdr:rowOff>
    </xdr:from>
    <xdr:ext cx="2160000" cy="1080000"/>
    <xdr:sp macro="" textlink="Dashboard_Data!B2">
      <xdr:nvSpPr>
        <xdr:cNvPr id="115" name="TextBox 114"/>
        <xdr:cNvSpPr txBox="1"/>
      </xdr:nvSpPr>
      <xdr:spPr>
        <a:xfrm>
          <a:off x="3291393" y="1098295"/>
          <a:ext cx="2160000" cy="1080000"/>
        </a:xfrm>
        <a:prstGeom prst="rect">
          <a:avLst/>
        </a:prstGeom>
        <a:solidFill>
          <a:srgbClr val="E6F0FA"/>
        </a:solidFill>
        <a:ln w="28575">
          <a:solidFill>
            <a:srgbClr val="B4C8DC"/>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6B885395-F7D3-410C-B4B6-CF64313100B7}" type="TxLink">
            <a:rPr lang="en-US" sz="2800" b="1" i="0" u="none" strike="noStrike">
              <a:solidFill>
                <a:srgbClr val="000000"/>
              </a:solidFill>
              <a:latin typeface="Calibri"/>
            </a:rPr>
            <a:pPr algn="ctr"/>
            <a:t>200</a:t>
          </a:fld>
          <a:endParaRPr lang="en-IN" sz="2800" b="1"/>
        </a:p>
      </xdr:txBody>
    </xdr:sp>
    <xdr:clientData/>
  </xdr:oneCellAnchor>
  <xdr:oneCellAnchor>
    <xdr:from>
      <xdr:col>10</xdr:col>
      <xdr:colOff>306548</xdr:colOff>
      <xdr:row>5</xdr:row>
      <xdr:rowOff>156871</xdr:rowOff>
    </xdr:from>
    <xdr:ext cx="2160000" cy="1080000"/>
    <xdr:sp macro="" textlink="Dashboard_Data!C2">
      <xdr:nvSpPr>
        <xdr:cNvPr id="117" name="TextBox 116"/>
        <xdr:cNvSpPr txBox="1"/>
      </xdr:nvSpPr>
      <xdr:spPr>
        <a:xfrm>
          <a:off x="6398118" y="1098295"/>
          <a:ext cx="2160000" cy="1080000"/>
        </a:xfrm>
        <a:prstGeom prst="rect">
          <a:avLst/>
        </a:prstGeom>
        <a:solidFill>
          <a:srgbClr val="E6F0FA"/>
        </a:solidFill>
        <a:ln w="28575">
          <a:solidFill>
            <a:srgbClr val="B4C8DC"/>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291E890B-97D5-4768-ADFD-768EED6BF50D}" type="TxLink">
            <a:rPr lang="en-US" sz="2800" b="1" i="0" u="none" strike="noStrike">
              <a:solidFill>
                <a:srgbClr val="FF0000"/>
              </a:solidFill>
              <a:latin typeface="Calibri"/>
            </a:rPr>
            <a:pPr algn="ctr"/>
            <a:t>33</a:t>
          </a:fld>
          <a:endParaRPr lang="en-IN" sz="2800" b="1">
            <a:solidFill>
              <a:srgbClr val="FF0000"/>
            </a:solidFill>
          </a:endParaRPr>
        </a:p>
      </xdr:txBody>
    </xdr:sp>
    <xdr:clientData/>
  </xdr:oneCellAnchor>
  <xdr:oneCellAnchor>
    <xdr:from>
      <xdr:col>15</xdr:col>
      <xdr:colOff>367489</xdr:colOff>
      <xdr:row>5</xdr:row>
      <xdr:rowOff>156871</xdr:rowOff>
    </xdr:from>
    <xdr:ext cx="2160000" cy="1080000"/>
    <xdr:sp macro="" textlink="Dashboard_Data!D2">
      <xdr:nvSpPr>
        <xdr:cNvPr id="119" name="TextBox 118"/>
        <xdr:cNvSpPr txBox="1"/>
      </xdr:nvSpPr>
      <xdr:spPr>
        <a:xfrm>
          <a:off x="9504844" y="1098295"/>
          <a:ext cx="2160000" cy="1080000"/>
        </a:xfrm>
        <a:prstGeom prst="rect">
          <a:avLst/>
        </a:prstGeom>
        <a:solidFill>
          <a:srgbClr val="E6F0FA"/>
        </a:solidFill>
        <a:ln w="28575">
          <a:solidFill>
            <a:srgbClr val="B4C8DC"/>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1961702B-97C5-4A79-BB5E-99C818070325}" type="TxLink">
            <a:rPr lang="en-US" sz="2800" b="1" i="0" u="none" strike="noStrike">
              <a:solidFill>
                <a:srgbClr val="000000"/>
              </a:solidFill>
              <a:latin typeface="Calibri"/>
            </a:rPr>
            <a:pPr algn="ctr"/>
            <a:t>16.5%</a:t>
          </a:fld>
          <a:endParaRPr lang="en-IN" sz="2800" b="1"/>
        </a:p>
      </xdr:txBody>
    </xdr:sp>
    <xdr:clientData/>
  </xdr:oneCellAnchor>
  <xdr:twoCellAnchor>
    <xdr:from>
      <xdr:col>6</xdr:col>
      <xdr:colOff>365494</xdr:colOff>
      <xdr:row>31</xdr:row>
      <xdr:rowOff>55379</xdr:rowOff>
    </xdr:from>
    <xdr:to>
      <xdr:col>12</xdr:col>
      <xdr:colOff>533752</xdr:colOff>
      <xdr:row>45</xdr:row>
      <xdr:rowOff>7790</xdr:rowOff>
    </xdr:to>
    <xdr:graphicFrame macro="">
      <xdr:nvGraphicFramePr>
        <xdr:cNvPr id="122" name="Chart 1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31336</xdr:colOff>
      <xdr:row>31</xdr:row>
      <xdr:rowOff>54290</xdr:rowOff>
    </xdr:from>
    <xdr:to>
      <xdr:col>19</xdr:col>
      <xdr:colOff>199594</xdr:colOff>
      <xdr:row>45</xdr:row>
      <xdr:rowOff>6701</xdr:rowOff>
    </xdr:to>
    <xdr:graphicFrame macro="">
      <xdr:nvGraphicFramePr>
        <xdr:cNvPr id="123" name="Chart 1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99680</xdr:colOff>
      <xdr:row>45</xdr:row>
      <xdr:rowOff>70575</xdr:rowOff>
    </xdr:from>
    <xdr:to>
      <xdr:col>6</xdr:col>
      <xdr:colOff>267938</xdr:colOff>
      <xdr:row>51</xdr:row>
      <xdr:rowOff>157666</xdr:rowOff>
    </xdr:to>
    <mc:AlternateContent xmlns:mc="http://schemas.openxmlformats.org/markup-compatibility/2006" xmlns:a14="http://schemas.microsoft.com/office/drawing/2010/main">
      <mc:Choice Requires="a14">
        <xdr:graphicFrame macro="">
          <xdr:nvGraphicFramePr>
            <xdr:cNvPr id="125" name="Product_Name 3"/>
            <xdr:cNvGraphicFramePr/>
          </xdr:nvGraphicFramePr>
          <xdr:xfrm>
            <a:off x="0" y="0"/>
            <a:ext cx="0" cy="0"/>
          </xdr:xfrm>
          <a:graphic>
            <a:graphicData uri="http://schemas.microsoft.com/office/drawing/2010/slicer">
              <sle:slicer xmlns:sle="http://schemas.microsoft.com/office/drawing/2010/slicer" name="Product_Name 3"/>
            </a:graphicData>
          </a:graphic>
        </xdr:graphicFrame>
      </mc:Choice>
      <mc:Fallback xmlns="">
        <xdr:sp macro="" textlink="">
          <xdr:nvSpPr>
            <xdr:cNvPr id="0" name=""/>
            <xdr:cNvSpPr>
              <a:spLocks noTextEdit="1"/>
            </xdr:cNvSpPr>
          </xdr:nvSpPr>
          <xdr:spPr>
            <a:xfrm>
              <a:off x="99680" y="8543395"/>
              <a:ext cx="3823200" cy="1216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382107</xdr:colOff>
      <xdr:row>45</xdr:row>
      <xdr:rowOff>81650</xdr:rowOff>
    </xdr:from>
    <xdr:to>
      <xdr:col>12</xdr:col>
      <xdr:colOff>550365</xdr:colOff>
      <xdr:row>51</xdr:row>
      <xdr:rowOff>168741</xdr:rowOff>
    </xdr:to>
    <mc:AlternateContent xmlns:mc="http://schemas.openxmlformats.org/markup-compatibility/2006" xmlns:a14="http://schemas.microsoft.com/office/drawing/2010/main">
      <mc:Choice Requires="a14">
        <xdr:graphicFrame macro="">
          <xdr:nvGraphicFramePr>
            <xdr:cNvPr id="126" name="Test_Parameter 3"/>
            <xdr:cNvGraphicFramePr/>
          </xdr:nvGraphicFramePr>
          <xdr:xfrm>
            <a:off x="0" y="0"/>
            <a:ext cx="0" cy="0"/>
          </xdr:xfrm>
          <a:graphic>
            <a:graphicData uri="http://schemas.microsoft.com/office/drawing/2010/slicer">
              <sle:slicer xmlns:sle="http://schemas.microsoft.com/office/drawing/2010/slicer" name="Test_Parameter 3"/>
            </a:graphicData>
          </a:graphic>
        </xdr:graphicFrame>
      </mc:Choice>
      <mc:Fallback xmlns="">
        <xdr:sp macro="" textlink="">
          <xdr:nvSpPr>
            <xdr:cNvPr id="0" name=""/>
            <xdr:cNvSpPr>
              <a:spLocks noTextEdit="1"/>
            </xdr:cNvSpPr>
          </xdr:nvSpPr>
          <xdr:spPr>
            <a:xfrm>
              <a:off x="4037049" y="8554470"/>
              <a:ext cx="3823200" cy="1216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11076</xdr:colOff>
      <xdr:row>54</xdr:row>
      <xdr:rowOff>0</xdr:rowOff>
    </xdr:from>
    <xdr:ext cx="12194215" cy="1362296"/>
    <xdr:sp macro="" textlink="">
      <xdr:nvSpPr>
        <xdr:cNvPr id="128" name="TextBox 127"/>
        <xdr:cNvSpPr txBox="1"/>
      </xdr:nvSpPr>
      <xdr:spPr>
        <a:xfrm>
          <a:off x="11076" y="10167384"/>
          <a:ext cx="12194215" cy="1362296"/>
        </a:xfrm>
        <a:prstGeom prst="rect">
          <a:avLst/>
        </a:prstGeom>
        <a:solidFill>
          <a:schemeClr val="bg1">
            <a:lumMod val="95000"/>
          </a:schemeClr>
        </a:solidFill>
        <a:ln>
          <a:solidFill>
            <a:schemeClr val="bg1"/>
          </a:solidFill>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t">
          <a:noAutofit/>
        </a:bodyPr>
        <a:lstStyle/>
        <a:p>
          <a:r>
            <a:rPr lang="en-IN" sz="1400" b="1" i="0" u="none" strike="noStrike">
              <a:solidFill>
                <a:schemeClr val="tx1"/>
              </a:solidFill>
              <a:effectLst/>
              <a:latin typeface="+mn-lt"/>
              <a:ea typeface="+mn-ea"/>
              <a:cs typeface="+mn-cs"/>
            </a:rPr>
            <a:t>Key Insights</a:t>
          </a:r>
        </a:p>
        <a:p>
          <a:endParaRPr lang="en-IN">
            <a:solidFill>
              <a:srgbClr val="FF0000"/>
            </a:solidFill>
          </a:endParaRPr>
        </a:p>
        <a:p>
          <a:pPr marL="171450" indent="-171450">
            <a:buFont typeface="Arial" panose="020B0604020202020204" pitchFamily="34" charset="0"/>
            <a:buChar char="•"/>
          </a:pPr>
          <a:r>
            <a:rPr lang="en-IN" sz="1100" b="0" i="0" u="none" strike="noStrike">
              <a:solidFill>
                <a:schemeClr val="tx1"/>
              </a:solidFill>
              <a:effectLst/>
              <a:latin typeface="+mn-lt"/>
              <a:ea typeface="+mn-ea"/>
              <a:cs typeface="+mn-cs"/>
            </a:rPr>
            <a:t>Cetirizine 10mg recorded</a:t>
          </a:r>
          <a:r>
            <a:rPr lang="en-IN" sz="1100" b="0" i="0" u="none" strike="noStrike" baseline="0">
              <a:solidFill>
                <a:schemeClr val="tx1"/>
              </a:solidFill>
              <a:effectLst/>
              <a:latin typeface="+mn-lt"/>
              <a:ea typeface="+mn-ea"/>
              <a:cs typeface="+mn-cs"/>
            </a:rPr>
            <a:t> the highest number of QC tests.</a:t>
          </a:r>
          <a:endParaRPr lang="en-IN"/>
        </a:p>
        <a:p>
          <a:pPr marL="171450" indent="-171450">
            <a:buFont typeface="Arial" panose="020B0604020202020204" pitchFamily="34" charset="0"/>
            <a:buChar char="•"/>
          </a:pPr>
          <a:r>
            <a:rPr lang="en-IN" sz="1100"/>
            <a:t>Impurities testing showed</a:t>
          </a:r>
          <a:r>
            <a:rPr lang="en-IN" sz="1100" baseline="0"/>
            <a:t> the </a:t>
          </a:r>
          <a:r>
            <a:rPr lang="en-IN" sz="1100"/>
            <a:t>highest number of OOS</a:t>
          </a:r>
          <a:r>
            <a:rPr lang="en-IN" sz="1100" baseline="0"/>
            <a:t> occurrences.</a:t>
          </a:r>
        </a:p>
        <a:p>
          <a:pPr marL="171450" indent="-171450">
            <a:buFont typeface="Arial" panose="020B0604020202020204" pitchFamily="34" charset="0"/>
            <a:buChar char="•"/>
          </a:pPr>
          <a:r>
            <a:rPr lang="en-IN" sz="1100"/>
            <a:t>Analyst Anita Sharma performed the most</a:t>
          </a:r>
          <a:r>
            <a:rPr lang="en-IN" sz="1100" baseline="0"/>
            <a:t> tests.</a:t>
          </a:r>
        </a:p>
        <a:p>
          <a:pPr marL="171450" indent="-171450">
            <a:buFont typeface="Arial" panose="020B0604020202020204" pitchFamily="34" charset="0"/>
            <a:buChar char="•"/>
          </a:pPr>
          <a:r>
            <a:rPr lang="en-IN" sz="1100" baseline="0"/>
            <a:t>Overall OOS rate observed: 16.5%</a:t>
          </a:r>
          <a:endParaRPr lang="en-IN" sz="1100"/>
        </a:p>
        <a:p>
          <a:pPr marL="171450" indent="-171450">
            <a:buFont typeface="Arial" panose="020B0604020202020204" pitchFamily="34" charset="0"/>
            <a:buChar char="•"/>
          </a:pPr>
          <a:endParaRPr lang="en-IN" sz="1100"/>
        </a:p>
      </xdr:txBody>
    </xdr:sp>
    <xdr:clientData/>
  </xdr:oneCellAnchor>
  <xdr:twoCellAnchor>
    <xdr:from>
      <xdr:col>0</xdr:col>
      <xdr:colOff>95611</xdr:colOff>
      <xdr:row>31</xdr:row>
      <xdr:rowOff>55378</xdr:rowOff>
    </xdr:from>
    <xdr:to>
      <xdr:col>6</xdr:col>
      <xdr:colOff>263869</xdr:colOff>
      <xdr:row>45</xdr:row>
      <xdr:rowOff>7789</xdr:rowOff>
    </xdr:to>
    <xdr:graphicFrame macro="">
      <xdr:nvGraphicFramePr>
        <xdr:cNvPr id="129" name="Chart 1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0</xdr:row>
      <xdr:rowOff>158750</xdr:rowOff>
    </xdr:from>
    <xdr:to>
      <xdr:col>19</xdr:col>
      <xdr:colOff>77529</xdr:colOff>
      <xdr:row>3</xdr:row>
      <xdr:rowOff>44302</xdr:rowOff>
    </xdr:to>
    <xdr:sp macro="" textlink="">
      <xdr:nvSpPr>
        <xdr:cNvPr id="131" name="TextBox 130"/>
        <xdr:cNvSpPr txBox="1"/>
      </xdr:nvSpPr>
      <xdr:spPr>
        <a:xfrm>
          <a:off x="0" y="158750"/>
          <a:ext cx="11651512" cy="450407"/>
        </a:xfrm>
        <a:prstGeom prst="rect">
          <a:avLst/>
        </a:prstGeom>
        <a:solidFill>
          <a:srgbClr val="E1F1F5"/>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solidFill>
                <a:schemeClr val="accent1">
                  <a:lumMod val="50000"/>
                </a:schemeClr>
              </a:solidFill>
              <a:latin typeface="Calibri bold" panose="020F0702030404030204" pitchFamily="34" charset="0"/>
              <a:cs typeface="Segoe UI" panose="020B0502040204020203" pitchFamily="34" charset="0"/>
            </a:rPr>
            <a:t>Pharmaceutical Quality</a:t>
          </a:r>
          <a:r>
            <a:rPr lang="en-IN" sz="2800" b="1" baseline="0">
              <a:solidFill>
                <a:schemeClr val="accent1">
                  <a:lumMod val="50000"/>
                </a:schemeClr>
              </a:solidFill>
              <a:latin typeface="Calibri bold" panose="020F0702030404030204" pitchFamily="34" charset="0"/>
              <a:cs typeface="Segoe UI" panose="020B0502040204020203" pitchFamily="34" charset="0"/>
            </a:rPr>
            <a:t> Control</a:t>
          </a:r>
          <a:r>
            <a:rPr lang="en-IN" sz="2800" b="1">
              <a:solidFill>
                <a:schemeClr val="accent1">
                  <a:lumMod val="50000"/>
                </a:schemeClr>
              </a:solidFill>
              <a:latin typeface="Calibri bold" panose="020F0702030404030204" pitchFamily="34" charset="0"/>
              <a:cs typeface="Segoe UI" panose="020B0502040204020203" pitchFamily="34" charset="0"/>
            </a:rPr>
            <a:t> OOS Analytics</a:t>
          </a:r>
          <a:r>
            <a:rPr lang="en-IN" sz="2800" b="1" baseline="0">
              <a:solidFill>
                <a:schemeClr val="accent1">
                  <a:lumMod val="50000"/>
                </a:schemeClr>
              </a:solidFill>
              <a:latin typeface="Calibri bold" panose="020F0702030404030204" pitchFamily="34" charset="0"/>
              <a:cs typeface="Segoe UI" panose="020B0502040204020203" pitchFamily="34" charset="0"/>
            </a:rPr>
            <a:t> Dashboard</a:t>
          </a:r>
          <a:endParaRPr lang="en-IN" sz="2800" b="1">
            <a:solidFill>
              <a:schemeClr val="accent1">
                <a:lumMod val="50000"/>
              </a:schemeClr>
            </a:solidFill>
            <a:latin typeface="Calibri bold" panose="020F0702030404030204" pitchFamily="34" charset="0"/>
            <a:cs typeface="Segoe UI" panose="020B0502040204020203" pitchFamily="34" charset="0"/>
          </a:endParaRPr>
        </a:p>
      </xdr:txBody>
    </xdr:sp>
    <xdr:clientData/>
  </xdr:twoCellAnchor>
  <xdr:oneCellAnchor>
    <xdr:from>
      <xdr:col>10</xdr:col>
      <xdr:colOff>317160</xdr:colOff>
      <xdr:row>11</xdr:row>
      <xdr:rowOff>171797</xdr:rowOff>
    </xdr:from>
    <xdr:ext cx="2134800" cy="280800"/>
    <xdr:sp macro="" textlink="">
      <xdr:nvSpPr>
        <xdr:cNvPr id="33" name="TextBox 32"/>
        <xdr:cNvSpPr txBox="1"/>
      </xdr:nvSpPr>
      <xdr:spPr>
        <a:xfrm>
          <a:off x="6408730" y="2242931"/>
          <a:ext cx="2134800" cy="280800"/>
        </a:xfrm>
        <a:prstGeom prst="rect">
          <a:avLst/>
        </a:prstGeom>
        <a:solidFill>
          <a:srgbClr val="F86F64"/>
        </a:solidFill>
        <a:ln w="28575">
          <a:solidFill>
            <a:srgbClr val="B4C8DC"/>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200" b="1"/>
            <a:t>OOS</a:t>
          </a:r>
          <a:r>
            <a:rPr lang="en-IN" sz="1200" b="1" baseline="0"/>
            <a:t> Count</a:t>
          </a:r>
          <a:endParaRPr lang="en-IN" sz="1200" b="1"/>
        </a:p>
      </xdr:txBody>
    </xdr:sp>
    <xdr:clientData/>
  </xdr:oneCellAnchor>
  <xdr:oneCellAnchor>
    <xdr:from>
      <xdr:col>15</xdr:col>
      <xdr:colOff>381932</xdr:colOff>
      <xdr:row>11</xdr:row>
      <xdr:rowOff>171797</xdr:rowOff>
    </xdr:from>
    <xdr:ext cx="2134800" cy="280800"/>
    <xdr:sp macro="" textlink="">
      <xdr:nvSpPr>
        <xdr:cNvPr id="34" name="TextBox 33"/>
        <xdr:cNvSpPr txBox="1"/>
      </xdr:nvSpPr>
      <xdr:spPr>
        <a:xfrm>
          <a:off x="9519287" y="2242931"/>
          <a:ext cx="2134800" cy="280800"/>
        </a:xfrm>
        <a:prstGeom prst="rect">
          <a:avLst/>
        </a:prstGeom>
        <a:solidFill>
          <a:schemeClr val="accent2">
            <a:lumMod val="60000"/>
            <a:lumOff val="40000"/>
          </a:schemeClr>
        </a:solidFill>
        <a:ln w="28575">
          <a:solidFill>
            <a:srgbClr val="B4C8DC"/>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200" b="1"/>
            <a:t>OOS</a:t>
          </a:r>
          <a:r>
            <a:rPr lang="en-IN" sz="1200" b="1" baseline="0"/>
            <a:t> Rate</a:t>
          </a:r>
          <a:endParaRPr lang="en-IN" sz="1200" b="1"/>
        </a:p>
      </xdr:txBody>
    </xdr:sp>
    <xdr:clientData/>
  </xdr:oneCellAnchor>
  <xdr:oneCellAnchor>
    <xdr:from>
      <xdr:col>0</xdr:col>
      <xdr:colOff>187614</xdr:colOff>
      <xdr:row>11</xdr:row>
      <xdr:rowOff>171797</xdr:rowOff>
    </xdr:from>
    <xdr:ext cx="2134800" cy="280800"/>
    <xdr:sp macro="" textlink="">
      <xdr:nvSpPr>
        <xdr:cNvPr id="35" name="TextBox 34"/>
        <xdr:cNvSpPr txBox="1"/>
      </xdr:nvSpPr>
      <xdr:spPr>
        <a:xfrm>
          <a:off x="187614" y="2242931"/>
          <a:ext cx="2134800" cy="280800"/>
        </a:xfrm>
        <a:prstGeom prst="rect">
          <a:avLst/>
        </a:prstGeom>
        <a:solidFill>
          <a:schemeClr val="accent1">
            <a:lumMod val="20000"/>
            <a:lumOff val="80000"/>
          </a:schemeClr>
        </a:solidFill>
        <a:ln w="28575">
          <a:solidFill>
            <a:srgbClr val="B4C8DC"/>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200" b="1"/>
            <a:t>Total Batches</a:t>
          </a:r>
        </a:p>
      </xdr:txBody>
    </xdr:sp>
    <xdr:clientData/>
  </xdr:oneCellAnchor>
  <xdr:oneCellAnchor>
    <xdr:from>
      <xdr:col>5</xdr:col>
      <xdr:colOff>252387</xdr:colOff>
      <xdr:row>11</xdr:row>
      <xdr:rowOff>171797</xdr:rowOff>
    </xdr:from>
    <xdr:ext cx="2134800" cy="280800"/>
    <xdr:sp macro="" textlink="">
      <xdr:nvSpPr>
        <xdr:cNvPr id="36" name="TextBox 35"/>
        <xdr:cNvSpPr txBox="1"/>
      </xdr:nvSpPr>
      <xdr:spPr>
        <a:xfrm>
          <a:off x="3298172" y="2242931"/>
          <a:ext cx="2134800" cy="280800"/>
        </a:xfrm>
        <a:prstGeom prst="rect">
          <a:avLst/>
        </a:prstGeom>
        <a:solidFill>
          <a:schemeClr val="accent1">
            <a:lumMod val="20000"/>
            <a:lumOff val="80000"/>
          </a:schemeClr>
        </a:solidFill>
        <a:ln w="28575">
          <a:solidFill>
            <a:srgbClr val="B4C8DC"/>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200" b="1"/>
            <a:t>Total tests</a:t>
          </a:r>
        </a:p>
      </xdr:txBody>
    </xdr:sp>
    <xdr:clientData/>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Dat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s>
    <sheetDataSet>
      <sheetData sheetId="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uresh" refreshedDate="46089.920200231485" createdVersion="5" refreshedVersion="5" minRefreshableVersion="3" recordCount="200">
  <cacheSource type="worksheet">
    <worksheetSource name="Table1"/>
  </cacheSource>
  <cacheFields count="8">
    <cacheField name="Batch_Number" numFmtId="0">
      <sharedItems/>
    </cacheField>
    <cacheField name="Product_Name" numFmtId="0">
      <sharedItems count="5">
        <s v="Paracetamol 500mg"/>
        <s v="Ibuprofen 200mg"/>
        <s v="Amoxicillin 250mg"/>
        <s v="Cetirizine 10mg"/>
        <s v="Metformin 500mg"/>
      </sharedItems>
    </cacheField>
    <cacheField name="Test_Parameter" numFmtId="0">
      <sharedItems count="5">
        <s v="Assay"/>
        <s v="Dissolution"/>
        <s v="Impurities"/>
        <s v="pH"/>
        <s v="Uniformity"/>
      </sharedItems>
    </cacheField>
    <cacheField name="Result_Value" numFmtId="0">
      <sharedItems containsSemiMixedTypes="0" containsString="0" containsNumber="1" minValue="0.09" maxValue="106.3"/>
    </cacheField>
    <cacheField name="Specific_Limit" numFmtId="0">
      <sharedItems/>
    </cacheField>
    <cacheField name="OOS" numFmtId="0">
      <sharedItems count="2">
        <s v="No"/>
        <s v="Yes"/>
      </sharedItems>
    </cacheField>
    <cacheField name="Test_Date" numFmtId="14">
      <sharedItems containsSemiMixedTypes="0" containsNonDate="0" containsDate="1" containsString="0" minDate="2025-01-01T00:00:00" maxDate="2025-06-21T00:00:00"/>
    </cacheField>
    <cacheField name="Analyst_Name" numFmtId="0">
      <sharedItems count="5">
        <s v="Ravi Kumar"/>
        <s v="Anita Sharma"/>
        <s v="John Mathew"/>
        <s v="Priya Nair"/>
        <s v="Arun Da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00">
  <r>
    <s v="B001"/>
    <x v="0"/>
    <x v="0"/>
    <n v="99.2"/>
    <s v="95-105"/>
    <x v="0"/>
    <d v="2025-01-01T00:00:00"/>
    <x v="0"/>
  </r>
  <r>
    <s v="B002"/>
    <x v="1"/>
    <x v="1"/>
    <n v="90"/>
    <s v="NLT 85"/>
    <x v="0"/>
    <d v="2025-01-02T00:00:00"/>
    <x v="1"/>
  </r>
  <r>
    <s v="B003"/>
    <x v="2"/>
    <x v="2"/>
    <n v="0.25"/>
    <s v="NMT 0.2"/>
    <x v="1"/>
    <d v="2025-01-03T00:00:00"/>
    <x v="2"/>
  </r>
  <r>
    <s v="B004"/>
    <x v="3"/>
    <x v="3"/>
    <n v="6.2"/>
    <s v="5.0-7.0"/>
    <x v="0"/>
    <d v="2025-01-04T00:00:00"/>
    <x v="3"/>
  </r>
  <r>
    <s v="B005"/>
    <x v="4"/>
    <x v="4"/>
    <n v="5.3"/>
    <s v="NMT 6"/>
    <x v="0"/>
    <d v="2025-01-05T00:00:00"/>
    <x v="4"/>
  </r>
  <r>
    <s v="B006"/>
    <x v="0"/>
    <x v="1"/>
    <n v="92"/>
    <s v="NLT 85"/>
    <x v="0"/>
    <d v="2025-01-06T00:00:00"/>
    <x v="0"/>
  </r>
  <r>
    <s v="B007"/>
    <x v="1"/>
    <x v="0"/>
    <n v="101.4"/>
    <s v="95-105"/>
    <x v="0"/>
    <d v="2025-01-07T00:00:00"/>
    <x v="1"/>
  </r>
  <r>
    <s v="B008"/>
    <x v="2"/>
    <x v="3"/>
    <n v="7.2"/>
    <s v="5.0-7.0"/>
    <x v="1"/>
    <d v="2025-01-08T00:00:00"/>
    <x v="2"/>
  </r>
  <r>
    <s v="B009"/>
    <x v="3"/>
    <x v="2"/>
    <n v="0.15"/>
    <s v="NMT 0.2"/>
    <x v="0"/>
    <d v="2025-01-09T00:00:00"/>
    <x v="3"/>
  </r>
  <r>
    <s v="B010"/>
    <x v="4"/>
    <x v="4"/>
    <n v="6.5"/>
    <s v="NMT 6"/>
    <x v="1"/>
    <d v="2025-01-10T00:00:00"/>
    <x v="4"/>
  </r>
  <r>
    <s v="B011"/>
    <x v="0"/>
    <x v="0"/>
    <n v="98.6"/>
    <s v="95-105"/>
    <x v="0"/>
    <d v="2025-01-11T00:00:00"/>
    <x v="0"/>
  </r>
  <r>
    <s v="B012"/>
    <x v="1"/>
    <x v="1"/>
    <n v="88"/>
    <s v="NLT 85"/>
    <x v="0"/>
    <d v="2025-01-12T00:00:00"/>
    <x v="1"/>
  </r>
  <r>
    <s v="B013"/>
    <x v="2"/>
    <x v="2"/>
    <n v="0.18"/>
    <s v="NMT 0.2"/>
    <x v="0"/>
    <d v="2025-01-13T00:00:00"/>
    <x v="2"/>
  </r>
  <r>
    <s v="B014"/>
    <x v="3"/>
    <x v="3"/>
    <n v="6.8"/>
    <s v="5.0-7.0"/>
    <x v="0"/>
    <d v="2025-01-14T00:00:00"/>
    <x v="3"/>
  </r>
  <r>
    <s v="B015"/>
    <x v="4"/>
    <x v="4"/>
    <n v="5.9"/>
    <s v="NMT 6"/>
    <x v="0"/>
    <d v="2025-01-15T00:00:00"/>
    <x v="4"/>
  </r>
  <r>
    <s v="B016"/>
    <x v="0"/>
    <x v="1"/>
    <n v="93"/>
    <s v="NLT 85"/>
    <x v="0"/>
    <d v="2025-01-16T00:00:00"/>
    <x v="0"/>
  </r>
  <r>
    <s v="B017"/>
    <x v="1"/>
    <x v="0"/>
    <n v="102.3"/>
    <s v="95-105"/>
    <x v="0"/>
    <d v="2025-01-17T00:00:00"/>
    <x v="1"/>
  </r>
  <r>
    <s v="B018"/>
    <x v="2"/>
    <x v="3"/>
    <n v="5.4"/>
    <s v="5.0-7.0"/>
    <x v="0"/>
    <d v="2025-01-18T00:00:00"/>
    <x v="2"/>
  </r>
  <r>
    <s v="B019"/>
    <x v="3"/>
    <x v="2"/>
    <n v="0.22"/>
    <s v="NMT 0.2"/>
    <x v="1"/>
    <d v="2025-01-19T00:00:00"/>
    <x v="3"/>
  </r>
  <r>
    <s v="B020"/>
    <x v="4"/>
    <x v="4"/>
    <n v="5.2"/>
    <s v="NMT 6"/>
    <x v="0"/>
    <d v="2025-01-20T00:00:00"/>
    <x v="4"/>
  </r>
  <r>
    <s v="B021"/>
    <x v="0"/>
    <x v="0"/>
    <n v="97.5"/>
    <s v="95-105"/>
    <x v="0"/>
    <d v="2025-01-21T00:00:00"/>
    <x v="0"/>
  </r>
  <r>
    <s v="B022"/>
    <x v="1"/>
    <x v="1"/>
    <n v="91"/>
    <s v="NLT 85"/>
    <x v="0"/>
    <d v="2025-01-22T00:00:00"/>
    <x v="1"/>
  </r>
  <r>
    <s v="B023"/>
    <x v="2"/>
    <x v="2"/>
    <n v="0.14000000000000001"/>
    <s v="NMT 0.2"/>
    <x v="0"/>
    <d v="2025-01-23T00:00:00"/>
    <x v="2"/>
  </r>
  <r>
    <s v="B024"/>
    <x v="3"/>
    <x v="3"/>
    <n v="6.4"/>
    <s v="5.0-7.0"/>
    <x v="0"/>
    <d v="2025-01-24T00:00:00"/>
    <x v="3"/>
  </r>
  <r>
    <s v="B025"/>
    <x v="4"/>
    <x v="4"/>
    <n v="6.1"/>
    <s v="NMT 6"/>
    <x v="1"/>
    <d v="2025-01-25T00:00:00"/>
    <x v="4"/>
  </r>
  <r>
    <s v="B026"/>
    <x v="0"/>
    <x v="1"/>
    <n v="94"/>
    <s v="NLT 85"/>
    <x v="0"/>
    <d v="2025-01-26T00:00:00"/>
    <x v="0"/>
  </r>
  <r>
    <s v="B027"/>
    <x v="1"/>
    <x v="0"/>
    <n v="100.1"/>
    <s v="95-105"/>
    <x v="0"/>
    <d v="2025-01-27T00:00:00"/>
    <x v="1"/>
  </r>
  <r>
    <s v="B028"/>
    <x v="2"/>
    <x v="3"/>
    <n v="5.8"/>
    <s v="5.0-7.0"/>
    <x v="0"/>
    <d v="2025-01-28T00:00:00"/>
    <x v="2"/>
  </r>
  <r>
    <s v="B029"/>
    <x v="3"/>
    <x v="2"/>
    <n v="0.11"/>
    <s v="NMT 0.2"/>
    <x v="0"/>
    <d v="2025-01-29T00:00:00"/>
    <x v="3"/>
  </r>
  <r>
    <s v="B030"/>
    <x v="4"/>
    <x v="4"/>
    <n v="5.6"/>
    <s v="NMT 6"/>
    <x v="0"/>
    <d v="2025-01-30T00:00:00"/>
    <x v="4"/>
  </r>
  <r>
    <s v="B031"/>
    <x v="0"/>
    <x v="0"/>
    <n v="99.8"/>
    <s v="95-105"/>
    <x v="0"/>
    <d v="2025-02-01T00:00:00"/>
    <x v="0"/>
  </r>
  <r>
    <s v="B032"/>
    <x v="1"/>
    <x v="1"/>
    <n v="87"/>
    <s v="NLT 85"/>
    <x v="0"/>
    <d v="2025-02-02T00:00:00"/>
    <x v="1"/>
  </r>
  <r>
    <s v="B033"/>
    <x v="2"/>
    <x v="2"/>
    <n v="0.27"/>
    <s v="NMT 0.2"/>
    <x v="1"/>
    <d v="2025-02-03T00:00:00"/>
    <x v="2"/>
  </r>
  <r>
    <s v="B034"/>
    <x v="3"/>
    <x v="3"/>
    <n v="6.5"/>
    <s v="5.0-7.0"/>
    <x v="0"/>
    <d v="2025-02-04T00:00:00"/>
    <x v="3"/>
  </r>
  <r>
    <s v="B035"/>
    <x v="4"/>
    <x v="4"/>
    <n v="5.4"/>
    <s v="NMT 6"/>
    <x v="0"/>
    <d v="2025-02-05T00:00:00"/>
    <x v="4"/>
  </r>
  <r>
    <s v="B036"/>
    <x v="0"/>
    <x v="1"/>
    <n v="92"/>
    <s v="NLT 85"/>
    <x v="0"/>
    <d v="2025-02-06T00:00:00"/>
    <x v="0"/>
  </r>
  <r>
    <s v="B037"/>
    <x v="1"/>
    <x v="0"/>
    <n v="103.2"/>
    <s v="95-105"/>
    <x v="0"/>
    <d v="2025-02-07T00:00:00"/>
    <x v="1"/>
  </r>
  <r>
    <s v="B038"/>
    <x v="2"/>
    <x v="3"/>
    <n v="7.1"/>
    <s v="5.0-7.0"/>
    <x v="1"/>
    <d v="2025-02-08T00:00:00"/>
    <x v="2"/>
  </r>
  <r>
    <s v="B039"/>
    <x v="3"/>
    <x v="2"/>
    <n v="0.13"/>
    <s v="NMT 0.2"/>
    <x v="0"/>
    <d v="2025-02-09T00:00:00"/>
    <x v="3"/>
  </r>
  <r>
    <s v="B040"/>
    <x v="4"/>
    <x v="4"/>
    <n v="5.8"/>
    <s v="NMT 6"/>
    <x v="0"/>
    <d v="2025-02-10T00:00:00"/>
    <x v="4"/>
  </r>
  <r>
    <s v="B041"/>
    <x v="0"/>
    <x v="0"/>
    <n v="98.9"/>
    <s v="95-105"/>
    <x v="0"/>
    <d v="2025-02-11T00:00:00"/>
    <x v="0"/>
  </r>
  <r>
    <s v="B042"/>
    <x v="1"/>
    <x v="1"/>
    <n v="89"/>
    <s v="NLT 85"/>
    <x v="0"/>
    <d v="2025-02-12T00:00:00"/>
    <x v="1"/>
  </r>
  <r>
    <s v="B043"/>
    <x v="2"/>
    <x v="2"/>
    <n v="0.16"/>
    <s v="NMT 0.2"/>
    <x v="0"/>
    <d v="2025-02-13T00:00:00"/>
    <x v="2"/>
  </r>
  <r>
    <s v="B044"/>
    <x v="3"/>
    <x v="3"/>
    <n v="6.3"/>
    <s v="5.0-7.0"/>
    <x v="0"/>
    <d v="2025-02-14T00:00:00"/>
    <x v="3"/>
  </r>
  <r>
    <s v="B045"/>
    <x v="4"/>
    <x v="4"/>
    <n v="6.3"/>
    <s v="NMT 6"/>
    <x v="1"/>
    <d v="2025-02-15T00:00:00"/>
    <x v="4"/>
  </r>
  <r>
    <s v="B046"/>
    <x v="0"/>
    <x v="1"/>
    <n v="91"/>
    <s v="NLT 85"/>
    <x v="0"/>
    <d v="2025-02-16T00:00:00"/>
    <x v="0"/>
  </r>
  <r>
    <s v="B047"/>
    <x v="1"/>
    <x v="0"/>
    <n v="101.8"/>
    <s v="95-105"/>
    <x v="0"/>
    <d v="2025-02-17T00:00:00"/>
    <x v="1"/>
  </r>
  <r>
    <s v="B048"/>
    <x v="2"/>
    <x v="3"/>
    <n v="5.9"/>
    <s v="5.0-7.0"/>
    <x v="0"/>
    <d v="2025-02-18T00:00:00"/>
    <x v="2"/>
  </r>
  <r>
    <s v="B049"/>
    <x v="3"/>
    <x v="2"/>
    <n v="0.21"/>
    <s v="NMT 0.2"/>
    <x v="1"/>
    <d v="2025-02-19T00:00:00"/>
    <x v="3"/>
  </r>
  <r>
    <s v="B050"/>
    <x v="4"/>
    <x v="4"/>
    <n v="5.5"/>
    <s v="NMT 6"/>
    <x v="0"/>
    <d v="2025-02-20T00:00:00"/>
    <x v="4"/>
  </r>
  <r>
    <s v="B051"/>
    <x v="0"/>
    <x v="0"/>
    <n v="99.2"/>
    <s v="95-105"/>
    <x v="0"/>
    <d v="2025-01-01T00:00:00"/>
    <x v="0"/>
  </r>
  <r>
    <s v="B052"/>
    <x v="1"/>
    <x v="0"/>
    <n v="101.1"/>
    <s v="95-105"/>
    <x v="0"/>
    <d v="2025-01-02T00:00:00"/>
    <x v="1"/>
  </r>
  <r>
    <s v="B053"/>
    <x v="2"/>
    <x v="0"/>
    <n v="104.2"/>
    <s v="95-105"/>
    <x v="0"/>
    <d v="2025-01-03T00:00:00"/>
    <x v="2"/>
  </r>
  <r>
    <s v="B054"/>
    <x v="3"/>
    <x v="0"/>
    <n v="106.3"/>
    <s v="95-105"/>
    <x v="1"/>
    <d v="2025-01-04T00:00:00"/>
    <x v="3"/>
  </r>
  <r>
    <s v="B055"/>
    <x v="4"/>
    <x v="0"/>
    <n v="97.8"/>
    <s v="95-105"/>
    <x v="0"/>
    <d v="2025-01-05T00:00:00"/>
    <x v="4"/>
  </r>
  <r>
    <s v="B056"/>
    <x v="0"/>
    <x v="1"/>
    <n v="92"/>
    <s v="NLT 85"/>
    <x v="0"/>
    <d v="2025-01-06T00:00:00"/>
    <x v="0"/>
  </r>
  <r>
    <s v="B057"/>
    <x v="1"/>
    <x v="1"/>
    <n v="88"/>
    <s v="NLT 85"/>
    <x v="0"/>
    <d v="2025-01-07T00:00:00"/>
    <x v="1"/>
  </r>
  <r>
    <s v="B058"/>
    <x v="2"/>
    <x v="1"/>
    <n v="83"/>
    <s v="NLT 85"/>
    <x v="1"/>
    <d v="2025-01-08T00:00:00"/>
    <x v="2"/>
  </r>
  <r>
    <s v="B059"/>
    <x v="3"/>
    <x v="1"/>
    <n v="91"/>
    <s v="NLT 85"/>
    <x v="0"/>
    <d v="2025-01-09T00:00:00"/>
    <x v="3"/>
  </r>
  <r>
    <s v="B060"/>
    <x v="4"/>
    <x v="1"/>
    <n v="87"/>
    <s v="NLT 85"/>
    <x v="0"/>
    <d v="2025-01-10T00:00:00"/>
    <x v="4"/>
  </r>
  <r>
    <s v="B061"/>
    <x v="0"/>
    <x v="3"/>
    <n v="5.8"/>
    <s v="5.0-7.0"/>
    <x v="0"/>
    <d v="2025-01-11T00:00:00"/>
    <x v="0"/>
  </r>
  <r>
    <s v="B062"/>
    <x v="1"/>
    <x v="3"/>
    <n v="6.5"/>
    <s v="5.0-7.0"/>
    <x v="0"/>
    <d v="2025-01-12T00:00:00"/>
    <x v="1"/>
  </r>
  <r>
    <s v="B063"/>
    <x v="2"/>
    <x v="3"/>
    <n v="7.2"/>
    <s v="5.0-7.0"/>
    <x v="1"/>
    <d v="2025-01-13T00:00:00"/>
    <x v="2"/>
  </r>
  <r>
    <s v="B064"/>
    <x v="3"/>
    <x v="3"/>
    <n v="6.1"/>
    <s v="5.0-7.0"/>
    <x v="0"/>
    <d v="2025-01-14T00:00:00"/>
    <x v="3"/>
  </r>
  <r>
    <s v="B065"/>
    <x v="4"/>
    <x v="3"/>
    <n v="5.6"/>
    <s v="5.0-7.0"/>
    <x v="0"/>
    <d v="2025-01-15T00:00:00"/>
    <x v="4"/>
  </r>
  <r>
    <s v="B066"/>
    <x v="0"/>
    <x v="2"/>
    <n v="0.12"/>
    <s v="NMT 0.2"/>
    <x v="0"/>
    <d v="2025-01-16T00:00:00"/>
    <x v="0"/>
  </r>
  <r>
    <s v="B067"/>
    <x v="1"/>
    <x v="2"/>
    <n v="0.18"/>
    <s v="NMT 0.2"/>
    <x v="0"/>
    <d v="2025-01-17T00:00:00"/>
    <x v="1"/>
  </r>
  <r>
    <s v="B068"/>
    <x v="2"/>
    <x v="2"/>
    <n v="0.25"/>
    <s v="NMT 0.2"/>
    <x v="1"/>
    <d v="2025-01-18T00:00:00"/>
    <x v="2"/>
  </r>
  <r>
    <s v="B069"/>
    <x v="3"/>
    <x v="2"/>
    <n v="0.09"/>
    <s v="NMT 0.2"/>
    <x v="0"/>
    <d v="2025-01-19T00:00:00"/>
    <x v="3"/>
  </r>
  <r>
    <s v="B070"/>
    <x v="4"/>
    <x v="2"/>
    <n v="0.15"/>
    <s v="NMT 0.2"/>
    <x v="0"/>
    <d v="2025-01-20T00:00:00"/>
    <x v="4"/>
  </r>
  <r>
    <s v="B071"/>
    <x v="0"/>
    <x v="4"/>
    <n v="4.8"/>
    <s v="NMT 6"/>
    <x v="0"/>
    <d v="2025-01-21T00:00:00"/>
    <x v="0"/>
  </r>
  <r>
    <s v="B072"/>
    <x v="1"/>
    <x v="4"/>
    <n v="5.2"/>
    <s v="NMT 6"/>
    <x v="0"/>
    <d v="2025-01-22T00:00:00"/>
    <x v="1"/>
  </r>
  <r>
    <s v="B073"/>
    <x v="2"/>
    <x v="4"/>
    <n v="6.5"/>
    <s v="NMT 6"/>
    <x v="1"/>
    <d v="2025-01-23T00:00:00"/>
    <x v="2"/>
  </r>
  <r>
    <s v="B074"/>
    <x v="3"/>
    <x v="4"/>
    <n v="4.2"/>
    <s v="NMT 6"/>
    <x v="0"/>
    <d v="2025-01-24T00:00:00"/>
    <x v="3"/>
  </r>
  <r>
    <s v="B075"/>
    <x v="4"/>
    <x v="4"/>
    <n v="5.0999999999999996"/>
    <s v="NMT 6"/>
    <x v="0"/>
    <d v="2025-01-25T00:00:00"/>
    <x v="4"/>
  </r>
  <r>
    <s v="B076"/>
    <x v="0"/>
    <x v="0"/>
    <n v="98.6"/>
    <s v="95-105"/>
    <x v="0"/>
    <d v="2025-01-26T00:00:00"/>
    <x v="0"/>
  </r>
  <r>
    <s v="B077"/>
    <x v="1"/>
    <x v="0"/>
    <n v="102.4"/>
    <s v="95-105"/>
    <x v="0"/>
    <d v="2025-01-27T00:00:00"/>
    <x v="1"/>
  </r>
  <r>
    <s v="B078"/>
    <x v="2"/>
    <x v="0"/>
    <n v="94.3"/>
    <s v="95-105"/>
    <x v="1"/>
    <d v="2025-01-28T00:00:00"/>
    <x v="2"/>
  </r>
  <r>
    <s v="B079"/>
    <x v="3"/>
    <x v="0"/>
    <n v="100.2"/>
    <s v="95-105"/>
    <x v="0"/>
    <d v="2025-01-29T00:00:00"/>
    <x v="3"/>
  </r>
  <r>
    <s v="B080"/>
    <x v="4"/>
    <x v="0"/>
    <n v="103.1"/>
    <s v="95-105"/>
    <x v="0"/>
    <d v="2025-01-30T00:00:00"/>
    <x v="4"/>
  </r>
  <r>
    <s v="B081"/>
    <x v="0"/>
    <x v="0"/>
    <n v="99.1"/>
    <s v="95-105"/>
    <x v="0"/>
    <d v="2025-02-21T00:00:00"/>
    <x v="0"/>
  </r>
  <r>
    <s v="B082"/>
    <x v="1"/>
    <x v="1"/>
    <n v="91"/>
    <s v="NLT 85"/>
    <x v="0"/>
    <d v="2025-02-22T00:00:00"/>
    <x v="1"/>
  </r>
  <r>
    <s v="B083"/>
    <x v="2"/>
    <x v="2"/>
    <n v="0.23"/>
    <s v="NMT 0.2"/>
    <x v="1"/>
    <d v="2025-02-23T00:00:00"/>
    <x v="2"/>
  </r>
  <r>
    <s v="B084"/>
    <x v="3"/>
    <x v="3"/>
    <n v="6.1"/>
    <s v="5.0-7.0"/>
    <x v="0"/>
    <d v="2025-02-24T00:00:00"/>
    <x v="3"/>
  </r>
  <r>
    <s v="B085"/>
    <x v="4"/>
    <x v="4"/>
    <n v="5.4"/>
    <s v="NMT 6"/>
    <x v="0"/>
    <d v="2025-02-25T00:00:00"/>
    <x v="4"/>
  </r>
  <r>
    <s v="B086"/>
    <x v="0"/>
    <x v="1"/>
    <n v="92"/>
    <s v="NLT 85"/>
    <x v="0"/>
    <d v="2025-02-26T00:00:00"/>
    <x v="0"/>
  </r>
  <r>
    <s v="B087"/>
    <x v="1"/>
    <x v="0"/>
    <n v="101.3"/>
    <s v="95-105"/>
    <x v="0"/>
    <d v="2025-02-27T00:00:00"/>
    <x v="1"/>
  </r>
  <r>
    <s v="B088"/>
    <x v="2"/>
    <x v="3"/>
    <n v="7.1"/>
    <s v="5.0-7.0"/>
    <x v="1"/>
    <d v="2025-02-28T00:00:00"/>
    <x v="2"/>
  </r>
  <r>
    <s v="B089"/>
    <x v="3"/>
    <x v="2"/>
    <n v="0.14000000000000001"/>
    <s v="NMT 0.2"/>
    <x v="0"/>
    <d v="2025-03-01T00:00:00"/>
    <x v="3"/>
  </r>
  <r>
    <s v="B090"/>
    <x v="4"/>
    <x v="4"/>
    <n v="5.7"/>
    <s v="NMT 6"/>
    <x v="0"/>
    <d v="2025-03-02T00:00:00"/>
    <x v="4"/>
  </r>
  <r>
    <s v="B091"/>
    <x v="2"/>
    <x v="0"/>
    <n v="98.7"/>
    <s v="95-105"/>
    <x v="0"/>
    <d v="2025-03-03T00:00:00"/>
    <x v="0"/>
  </r>
  <r>
    <s v="B092"/>
    <x v="1"/>
    <x v="1"/>
    <n v="89"/>
    <s v="NLT 85"/>
    <x v="0"/>
    <d v="2025-03-04T00:00:00"/>
    <x v="1"/>
  </r>
  <r>
    <s v="B093"/>
    <x v="2"/>
    <x v="2"/>
    <n v="0.19"/>
    <s v="NMT 0.2"/>
    <x v="0"/>
    <d v="2025-03-05T00:00:00"/>
    <x v="2"/>
  </r>
  <r>
    <s v="B094"/>
    <x v="3"/>
    <x v="3"/>
    <n v="6.6"/>
    <s v="5.0-7.0"/>
    <x v="0"/>
    <d v="2025-03-06T00:00:00"/>
    <x v="3"/>
  </r>
  <r>
    <s v="B095"/>
    <x v="3"/>
    <x v="4"/>
    <n v="6.2"/>
    <s v="NMT 6"/>
    <x v="1"/>
    <d v="2025-03-07T00:00:00"/>
    <x v="4"/>
  </r>
  <r>
    <s v="B096"/>
    <x v="0"/>
    <x v="1"/>
    <n v="93"/>
    <s v="NLT 85"/>
    <x v="0"/>
    <d v="2025-03-08T00:00:00"/>
    <x v="0"/>
  </r>
  <r>
    <s v="B097"/>
    <x v="1"/>
    <x v="0"/>
    <n v="100.8"/>
    <s v="95-105"/>
    <x v="0"/>
    <d v="2025-03-09T00:00:00"/>
    <x v="1"/>
  </r>
  <r>
    <s v="B098"/>
    <x v="2"/>
    <x v="3"/>
    <n v="5.7"/>
    <s v="5.0-7.0"/>
    <x v="0"/>
    <d v="2025-03-10T00:00:00"/>
    <x v="2"/>
  </r>
  <r>
    <s v="B099"/>
    <x v="3"/>
    <x v="2"/>
    <n v="0.21"/>
    <s v="NMT 0.2"/>
    <x v="1"/>
    <d v="2025-03-11T00:00:00"/>
    <x v="3"/>
  </r>
  <r>
    <s v="B100"/>
    <x v="4"/>
    <x v="4"/>
    <n v="5.6"/>
    <s v="NMT 6"/>
    <x v="0"/>
    <d v="2025-03-12T00:00:00"/>
    <x v="4"/>
  </r>
  <r>
    <s v="B101"/>
    <x v="0"/>
    <x v="0"/>
    <n v="99.5"/>
    <s v="95-105"/>
    <x v="0"/>
    <d v="2025-03-13T00:00:00"/>
    <x v="0"/>
  </r>
  <r>
    <s v="B102"/>
    <x v="1"/>
    <x v="1"/>
    <n v="90"/>
    <s v="NLT 85"/>
    <x v="0"/>
    <d v="2025-03-14T00:00:00"/>
    <x v="1"/>
  </r>
  <r>
    <s v="B103"/>
    <x v="2"/>
    <x v="2"/>
    <n v="0.16"/>
    <s v="NMT 0.2"/>
    <x v="0"/>
    <d v="2025-03-15T00:00:00"/>
    <x v="2"/>
  </r>
  <r>
    <s v="B104"/>
    <x v="3"/>
    <x v="3"/>
    <n v="6.2"/>
    <s v="5.0-7.0"/>
    <x v="0"/>
    <d v="2025-03-16T00:00:00"/>
    <x v="3"/>
  </r>
  <r>
    <s v="B105"/>
    <x v="4"/>
    <x v="4"/>
    <n v="5.8"/>
    <s v="NMT 6"/>
    <x v="0"/>
    <d v="2025-03-17T00:00:00"/>
    <x v="4"/>
  </r>
  <r>
    <s v="B106"/>
    <x v="0"/>
    <x v="1"/>
    <n v="94"/>
    <s v="NLT 85"/>
    <x v="0"/>
    <d v="2025-03-18T00:00:00"/>
    <x v="0"/>
  </r>
  <r>
    <s v="B107"/>
    <x v="1"/>
    <x v="0"/>
    <n v="102.1"/>
    <s v="95-105"/>
    <x v="0"/>
    <d v="2025-03-19T00:00:00"/>
    <x v="1"/>
  </r>
  <r>
    <s v="B108"/>
    <x v="3"/>
    <x v="3"/>
    <n v="6.9"/>
    <s v="5.0-7.0"/>
    <x v="0"/>
    <d v="2025-03-20T00:00:00"/>
    <x v="2"/>
  </r>
  <r>
    <s v="B109"/>
    <x v="3"/>
    <x v="2"/>
    <n v="0.12"/>
    <s v="NMT 0.2"/>
    <x v="0"/>
    <d v="2025-03-21T00:00:00"/>
    <x v="3"/>
  </r>
  <r>
    <s v="B110"/>
    <x v="4"/>
    <x v="4"/>
    <n v="6.4"/>
    <s v="NMT 6"/>
    <x v="1"/>
    <d v="2025-03-22T00:00:00"/>
    <x v="1"/>
  </r>
  <r>
    <s v="B111"/>
    <x v="0"/>
    <x v="0"/>
    <n v="98.9"/>
    <s v="95-105"/>
    <x v="0"/>
    <d v="2025-03-23T00:00:00"/>
    <x v="0"/>
  </r>
  <r>
    <s v="B112"/>
    <x v="1"/>
    <x v="1"/>
    <n v="88"/>
    <s v="NLT 85"/>
    <x v="0"/>
    <d v="2025-03-24T00:00:00"/>
    <x v="1"/>
  </r>
  <r>
    <s v="B113"/>
    <x v="2"/>
    <x v="2"/>
    <n v="0.24"/>
    <s v="NMT 0.2"/>
    <x v="1"/>
    <d v="2025-03-25T00:00:00"/>
    <x v="2"/>
  </r>
  <r>
    <s v="B114"/>
    <x v="3"/>
    <x v="3"/>
    <n v="6.4"/>
    <s v="5.0-7.0"/>
    <x v="0"/>
    <d v="2025-03-26T00:00:00"/>
    <x v="3"/>
  </r>
  <r>
    <s v="B115"/>
    <x v="4"/>
    <x v="4"/>
    <n v="5.5"/>
    <s v="NMT 6"/>
    <x v="0"/>
    <d v="2025-03-27T00:00:00"/>
    <x v="4"/>
  </r>
  <r>
    <s v="B116"/>
    <x v="0"/>
    <x v="1"/>
    <n v="92"/>
    <s v="NLT 85"/>
    <x v="0"/>
    <d v="2025-03-28T00:00:00"/>
    <x v="0"/>
  </r>
  <r>
    <s v="B117"/>
    <x v="1"/>
    <x v="0"/>
    <n v="101.9"/>
    <s v="95-105"/>
    <x v="0"/>
    <d v="2025-03-29T00:00:00"/>
    <x v="1"/>
  </r>
  <r>
    <s v="B118"/>
    <x v="2"/>
    <x v="3"/>
    <n v="5.6"/>
    <s v="5.0-7.0"/>
    <x v="0"/>
    <d v="2025-03-30T00:00:00"/>
    <x v="2"/>
  </r>
  <r>
    <s v="B119"/>
    <x v="3"/>
    <x v="2"/>
    <n v="0.13"/>
    <s v="NMT 0.2"/>
    <x v="0"/>
    <d v="2025-03-31T00:00:00"/>
    <x v="3"/>
  </r>
  <r>
    <s v="B120"/>
    <x v="3"/>
    <x v="4"/>
    <n v="4.9000000000000004"/>
    <s v="NMT 6"/>
    <x v="0"/>
    <d v="2025-04-01T00:00:00"/>
    <x v="4"/>
  </r>
  <r>
    <s v="B121"/>
    <x v="0"/>
    <x v="0"/>
    <n v="99.7"/>
    <s v="95-105"/>
    <x v="0"/>
    <d v="2025-04-02T00:00:00"/>
    <x v="0"/>
  </r>
  <r>
    <s v="B122"/>
    <x v="1"/>
    <x v="1"/>
    <n v="90"/>
    <s v="NLT 85"/>
    <x v="0"/>
    <d v="2025-04-03T00:00:00"/>
    <x v="1"/>
  </r>
  <r>
    <s v="B123"/>
    <x v="2"/>
    <x v="2"/>
    <n v="0.17"/>
    <s v="NMT 0.2"/>
    <x v="0"/>
    <d v="2025-04-04T00:00:00"/>
    <x v="2"/>
  </r>
  <r>
    <s v="B124"/>
    <x v="3"/>
    <x v="3"/>
    <n v="6.7"/>
    <s v="5.0-7.0"/>
    <x v="0"/>
    <d v="2025-04-05T00:00:00"/>
    <x v="3"/>
  </r>
  <r>
    <s v="B125"/>
    <x v="4"/>
    <x v="4"/>
    <n v="6.2"/>
    <s v="NMT 6"/>
    <x v="1"/>
    <d v="2025-04-06T00:00:00"/>
    <x v="1"/>
  </r>
  <r>
    <s v="B126"/>
    <x v="0"/>
    <x v="1"/>
    <n v="91"/>
    <s v="NLT 85"/>
    <x v="0"/>
    <d v="2025-04-07T00:00:00"/>
    <x v="0"/>
  </r>
  <r>
    <s v="B127"/>
    <x v="1"/>
    <x v="0"/>
    <n v="100.6"/>
    <s v="95-105"/>
    <x v="0"/>
    <d v="2025-04-08T00:00:00"/>
    <x v="1"/>
  </r>
  <r>
    <s v="B128"/>
    <x v="2"/>
    <x v="3"/>
    <n v="6"/>
    <s v="5.0-7.0"/>
    <x v="0"/>
    <d v="2025-04-09T00:00:00"/>
    <x v="2"/>
  </r>
  <r>
    <s v="B129"/>
    <x v="3"/>
    <x v="2"/>
    <n v="0.2"/>
    <s v="NMT 0.2"/>
    <x v="0"/>
    <d v="2025-04-10T00:00:00"/>
    <x v="3"/>
  </r>
  <r>
    <s v="B130"/>
    <x v="4"/>
    <x v="4"/>
    <n v="5.7"/>
    <s v="NMT 6"/>
    <x v="0"/>
    <d v="2025-04-11T00:00:00"/>
    <x v="4"/>
  </r>
  <r>
    <s v="B131"/>
    <x v="0"/>
    <x v="0"/>
    <n v="98.8"/>
    <s v="95-105"/>
    <x v="0"/>
    <d v="2025-04-12T00:00:00"/>
    <x v="0"/>
  </r>
  <r>
    <s v="B132"/>
    <x v="1"/>
    <x v="1"/>
    <n v="92"/>
    <s v="NLT 85"/>
    <x v="0"/>
    <d v="2025-04-13T00:00:00"/>
    <x v="1"/>
  </r>
  <r>
    <s v="B133"/>
    <x v="2"/>
    <x v="2"/>
    <n v="0.26"/>
    <s v="NMT 0.2"/>
    <x v="1"/>
    <d v="2025-04-14T00:00:00"/>
    <x v="2"/>
  </r>
  <r>
    <s v="B134"/>
    <x v="3"/>
    <x v="3"/>
    <n v="6.3"/>
    <s v="5.0-7.0"/>
    <x v="0"/>
    <d v="2025-04-15T00:00:00"/>
    <x v="3"/>
  </r>
  <r>
    <s v="B135"/>
    <x v="4"/>
    <x v="4"/>
    <n v="5.6"/>
    <s v="NMT 6"/>
    <x v="0"/>
    <d v="2025-04-16T00:00:00"/>
    <x v="4"/>
  </r>
  <r>
    <s v="B136"/>
    <x v="0"/>
    <x v="1"/>
    <n v="93"/>
    <s v="NLT 85"/>
    <x v="0"/>
    <d v="2025-04-17T00:00:00"/>
    <x v="0"/>
  </r>
  <r>
    <s v="B137"/>
    <x v="1"/>
    <x v="0"/>
    <n v="101.5"/>
    <s v="95-105"/>
    <x v="0"/>
    <d v="2025-04-18T00:00:00"/>
    <x v="1"/>
  </r>
  <r>
    <s v="B138"/>
    <x v="2"/>
    <x v="3"/>
    <n v="6.8"/>
    <s v="5.0-7.0"/>
    <x v="0"/>
    <d v="2025-04-19T00:00:00"/>
    <x v="2"/>
  </r>
  <r>
    <s v="B139"/>
    <x v="3"/>
    <x v="2"/>
    <n v="0.15"/>
    <s v="NMT 0.2"/>
    <x v="0"/>
    <d v="2025-04-20T00:00:00"/>
    <x v="3"/>
  </r>
  <r>
    <s v="B140"/>
    <x v="4"/>
    <x v="4"/>
    <n v="6.3"/>
    <s v="NMT 6"/>
    <x v="1"/>
    <d v="2025-04-21T00:00:00"/>
    <x v="4"/>
  </r>
  <r>
    <s v="B141"/>
    <x v="0"/>
    <x v="0"/>
    <n v="99.4"/>
    <s v="95-105"/>
    <x v="0"/>
    <d v="2025-04-22T00:00:00"/>
    <x v="2"/>
  </r>
  <r>
    <s v="B142"/>
    <x v="1"/>
    <x v="1"/>
    <n v="89"/>
    <s v="NLT 85"/>
    <x v="0"/>
    <d v="2025-04-23T00:00:00"/>
    <x v="1"/>
  </r>
  <r>
    <s v="B143"/>
    <x v="2"/>
    <x v="2"/>
    <n v="0.18"/>
    <s v="NMT 0.2"/>
    <x v="0"/>
    <d v="2025-04-24T00:00:00"/>
    <x v="1"/>
  </r>
  <r>
    <s v="B144"/>
    <x v="3"/>
    <x v="3"/>
    <n v="6.5"/>
    <s v="5.0-7.0"/>
    <x v="0"/>
    <d v="2025-04-25T00:00:00"/>
    <x v="3"/>
  </r>
  <r>
    <s v="B145"/>
    <x v="4"/>
    <x v="4"/>
    <n v="5.8"/>
    <s v="NMT 6"/>
    <x v="0"/>
    <d v="2025-04-26T00:00:00"/>
    <x v="4"/>
  </r>
  <r>
    <s v="B146"/>
    <x v="0"/>
    <x v="1"/>
    <n v="94"/>
    <s v="NLT 85"/>
    <x v="0"/>
    <d v="2025-04-27T00:00:00"/>
    <x v="0"/>
  </r>
  <r>
    <s v="B147"/>
    <x v="1"/>
    <x v="0"/>
    <n v="102"/>
    <s v="95-105"/>
    <x v="0"/>
    <d v="2025-04-28T00:00:00"/>
    <x v="1"/>
  </r>
  <r>
    <s v="B148"/>
    <x v="2"/>
    <x v="3"/>
    <n v="5.9"/>
    <s v="5.0-7.0"/>
    <x v="0"/>
    <d v="2025-04-29T00:00:00"/>
    <x v="2"/>
  </r>
  <r>
    <s v="B149"/>
    <x v="3"/>
    <x v="2"/>
    <n v="0.22"/>
    <s v="NMT 0.2"/>
    <x v="1"/>
    <d v="2025-04-30T00:00:00"/>
    <x v="3"/>
  </r>
  <r>
    <s v="B150"/>
    <x v="4"/>
    <x v="4"/>
    <n v="5.4"/>
    <s v="NMT 6"/>
    <x v="0"/>
    <d v="2025-05-01T00:00:00"/>
    <x v="2"/>
  </r>
  <r>
    <s v="B151"/>
    <x v="0"/>
    <x v="0"/>
    <n v="99"/>
    <s v="95-105"/>
    <x v="0"/>
    <d v="2025-05-02T00:00:00"/>
    <x v="0"/>
  </r>
  <r>
    <s v="B152"/>
    <x v="1"/>
    <x v="1"/>
    <n v="90"/>
    <s v="NLT 85"/>
    <x v="0"/>
    <d v="2025-05-03T00:00:00"/>
    <x v="1"/>
  </r>
  <r>
    <s v="B153"/>
    <x v="2"/>
    <x v="2"/>
    <n v="0.17"/>
    <s v="NMT 0.2"/>
    <x v="0"/>
    <d v="2025-05-04T00:00:00"/>
    <x v="2"/>
  </r>
  <r>
    <s v="B154"/>
    <x v="3"/>
    <x v="3"/>
    <n v="6.6"/>
    <s v="5.0-7.0"/>
    <x v="0"/>
    <d v="2025-05-05T00:00:00"/>
    <x v="3"/>
  </r>
  <r>
    <s v="B155"/>
    <x v="4"/>
    <x v="4"/>
    <n v="6.2"/>
    <s v="NMT 6"/>
    <x v="1"/>
    <d v="2025-05-06T00:00:00"/>
    <x v="4"/>
  </r>
  <r>
    <s v="B156"/>
    <x v="1"/>
    <x v="1"/>
    <n v="91"/>
    <s v="NLT 85"/>
    <x v="0"/>
    <d v="2025-05-07T00:00:00"/>
    <x v="1"/>
  </r>
  <r>
    <s v="B157"/>
    <x v="1"/>
    <x v="0"/>
    <n v="100.9"/>
    <s v="95-105"/>
    <x v="0"/>
    <d v="2025-05-08T00:00:00"/>
    <x v="1"/>
  </r>
  <r>
    <s v="B158"/>
    <x v="2"/>
    <x v="3"/>
    <n v="6.1"/>
    <s v="5.0-7.0"/>
    <x v="0"/>
    <d v="2025-05-09T00:00:00"/>
    <x v="2"/>
  </r>
  <r>
    <s v="B159"/>
    <x v="3"/>
    <x v="2"/>
    <n v="0.19"/>
    <s v="NMT 0.2"/>
    <x v="0"/>
    <d v="2025-05-10T00:00:00"/>
    <x v="3"/>
  </r>
  <r>
    <s v="B160"/>
    <x v="3"/>
    <x v="4"/>
    <n v="4.3"/>
    <s v="NMT 6"/>
    <x v="0"/>
    <d v="2025-05-11T00:00:00"/>
    <x v="4"/>
  </r>
  <r>
    <s v="B161"/>
    <x v="0"/>
    <x v="0"/>
    <n v="98.5"/>
    <s v="95-105"/>
    <x v="0"/>
    <d v="2025-05-12T00:00:00"/>
    <x v="0"/>
  </r>
  <r>
    <s v="B162"/>
    <x v="1"/>
    <x v="1"/>
    <n v="92"/>
    <s v="NLT 85"/>
    <x v="0"/>
    <d v="2025-05-13T00:00:00"/>
    <x v="1"/>
  </r>
  <r>
    <s v="B163"/>
    <x v="2"/>
    <x v="2"/>
    <n v="0.28000000000000003"/>
    <s v="NMT 0.2"/>
    <x v="1"/>
    <d v="2025-05-14T00:00:00"/>
    <x v="2"/>
  </r>
  <r>
    <s v="B164"/>
    <x v="3"/>
    <x v="3"/>
    <n v="6.4"/>
    <s v="5.0-7.0"/>
    <x v="0"/>
    <d v="2025-05-15T00:00:00"/>
    <x v="3"/>
  </r>
  <r>
    <s v="B165"/>
    <x v="4"/>
    <x v="4"/>
    <n v="5.6"/>
    <s v="NMT 6"/>
    <x v="0"/>
    <d v="2025-05-16T00:00:00"/>
    <x v="4"/>
  </r>
  <r>
    <s v="B166"/>
    <x v="0"/>
    <x v="1"/>
    <n v="93"/>
    <s v="NLT 85"/>
    <x v="0"/>
    <d v="2025-05-17T00:00:00"/>
    <x v="0"/>
  </r>
  <r>
    <s v="B167"/>
    <x v="1"/>
    <x v="0"/>
    <n v="101.7"/>
    <s v="95-105"/>
    <x v="0"/>
    <d v="2025-05-18T00:00:00"/>
    <x v="1"/>
  </r>
  <r>
    <s v="B168"/>
    <x v="2"/>
    <x v="3"/>
    <n v="5.8"/>
    <s v="5.0-7.0"/>
    <x v="0"/>
    <d v="2025-05-19T00:00:00"/>
    <x v="2"/>
  </r>
  <r>
    <s v="B169"/>
    <x v="3"/>
    <x v="2"/>
    <n v="0.14000000000000001"/>
    <s v="NMT 0.2"/>
    <x v="0"/>
    <d v="2025-05-20T00:00:00"/>
    <x v="3"/>
  </r>
  <r>
    <s v="B170"/>
    <x v="4"/>
    <x v="4"/>
    <n v="6.3"/>
    <s v="NMT 6"/>
    <x v="1"/>
    <d v="2025-05-21T00:00:00"/>
    <x v="4"/>
  </r>
  <r>
    <s v="B171"/>
    <x v="0"/>
    <x v="0"/>
    <n v="99.3"/>
    <s v="95-105"/>
    <x v="0"/>
    <d v="2025-05-22T00:00:00"/>
    <x v="0"/>
  </r>
  <r>
    <s v="B172"/>
    <x v="1"/>
    <x v="1"/>
    <n v="89"/>
    <s v="NLT 85"/>
    <x v="0"/>
    <d v="2025-05-23T00:00:00"/>
    <x v="1"/>
  </r>
  <r>
    <s v="B173"/>
    <x v="2"/>
    <x v="2"/>
    <n v="0.18"/>
    <s v="NMT 0.2"/>
    <x v="0"/>
    <d v="2025-05-24T00:00:00"/>
    <x v="2"/>
  </r>
  <r>
    <s v="B174"/>
    <x v="3"/>
    <x v="3"/>
    <n v="6.7"/>
    <s v="5.0-7.0"/>
    <x v="0"/>
    <d v="2025-05-25T00:00:00"/>
    <x v="3"/>
  </r>
  <r>
    <s v="B175"/>
    <x v="4"/>
    <x v="4"/>
    <n v="5.5"/>
    <s v="NMT 6"/>
    <x v="0"/>
    <d v="2025-05-26T00:00:00"/>
    <x v="4"/>
  </r>
  <r>
    <s v="B176"/>
    <x v="1"/>
    <x v="1"/>
    <n v="92"/>
    <s v="NLT 85"/>
    <x v="0"/>
    <d v="2025-05-27T00:00:00"/>
    <x v="0"/>
  </r>
  <r>
    <s v="B177"/>
    <x v="1"/>
    <x v="0"/>
    <n v="100.4"/>
    <s v="95-105"/>
    <x v="0"/>
    <d v="2025-05-28T00:00:00"/>
    <x v="1"/>
  </r>
  <r>
    <s v="B178"/>
    <x v="2"/>
    <x v="3"/>
    <n v="6.2"/>
    <s v="5.0-7.0"/>
    <x v="0"/>
    <d v="2025-05-29T00:00:00"/>
    <x v="2"/>
  </r>
  <r>
    <s v="B179"/>
    <x v="3"/>
    <x v="2"/>
    <n v="0.21"/>
    <s v="NMT 0.2"/>
    <x v="1"/>
    <d v="2025-05-30T00:00:00"/>
    <x v="3"/>
  </r>
  <r>
    <s v="B180"/>
    <x v="4"/>
    <x v="4"/>
    <n v="5.8"/>
    <s v="NMT 6"/>
    <x v="0"/>
    <d v="2025-05-31T00:00:00"/>
    <x v="4"/>
  </r>
  <r>
    <s v="B181"/>
    <x v="0"/>
    <x v="0"/>
    <n v="98.9"/>
    <s v="95-105"/>
    <x v="0"/>
    <d v="2025-06-01T00:00:00"/>
    <x v="0"/>
  </r>
  <r>
    <s v="B182"/>
    <x v="1"/>
    <x v="1"/>
    <n v="91"/>
    <s v="NLT 85"/>
    <x v="0"/>
    <d v="2025-06-02T00:00:00"/>
    <x v="1"/>
  </r>
  <r>
    <s v="B183"/>
    <x v="2"/>
    <x v="2"/>
    <n v="0.24"/>
    <s v="NMT 0.2"/>
    <x v="1"/>
    <d v="2025-06-03T00:00:00"/>
    <x v="2"/>
  </r>
  <r>
    <s v="B184"/>
    <x v="3"/>
    <x v="3"/>
    <n v="6.3"/>
    <s v="5.0-7.0"/>
    <x v="0"/>
    <d v="2025-06-04T00:00:00"/>
    <x v="3"/>
  </r>
  <r>
    <s v="B185"/>
    <x v="4"/>
    <x v="4"/>
    <n v="5.6"/>
    <s v="NMT 6"/>
    <x v="0"/>
    <d v="2025-06-05T00:00:00"/>
    <x v="4"/>
  </r>
  <r>
    <s v="B186"/>
    <x v="1"/>
    <x v="1"/>
    <n v="93"/>
    <s v="NLT 85"/>
    <x v="0"/>
    <d v="2025-06-06T00:00:00"/>
    <x v="0"/>
  </r>
  <r>
    <s v="B187"/>
    <x v="1"/>
    <x v="0"/>
    <n v="101.2"/>
    <s v="95-105"/>
    <x v="0"/>
    <d v="2025-06-07T00:00:00"/>
    <x v="1"/>
  </r>
  <r>
    <s v="B188"/>
    <x v="2"/>
    <x v="3"/>
    <n v="7.1"/>
    <s v="5.0-7.0"/>
    <x v="1"/>
    <d v="2025-06-08T00:00:00"/>
    <x v="2"/>
  </r>
  <r>
    <s v="B189"/>
    <x v="3"/>
    <x v="2"/>
    <n v="0.16"/>
    <s v="NMT 0.2"/>
    <x v="0"/>
    <d v="2025-06-09T00:00:00"/>
    <x v="3"/>
  </r>
  <r>
    <s v="B190"/>
    <x v="4"/>
    <x v="4"/>
    <n v="5.9"/>
    <s v="NMT 6"/>
    <x v="0"/>
    <d v="2025-06-10T00:00:00"/>
    <x v="2"/>
  </r>
  <r>
    <s v="B191"/>
    <x v="0"/>
    <x v="0"/>
    <n v="99.4"/>
    <s v="95-105"/>
    <x v="0"/>
    <d v="2025-06-11T00:00:00"/>
    <x v="0"/>
  </r>
  <r>
    <s v="B192"/>
    <x v="1"/>
    <x v="1"/>
    <n v="88"/>
    <s v="NLT 85"/>
    <x v="0"/>
    <d v="2025-06-12T00:00:00"/>
    <x v="1"/>
  </r>
  <r>
    <s v="B193"/>
    <x v="2"/>
    <x v="2"/>
    <n v="0.18"/>
    <s v="NMT 0.2"/>
    <x v="0"/>
    <d v="2025-06-13T00:00:00"/>
    <x v="2"/>
  </r>
  <r>
    <s v="B194"/>
    <x v="3"/>
    <x v="3"/>
    <n v="6.7"/>
    <s v="5.0-7.0"/>
    <x v="0"/>
    <d v="2025-06-14T00:00:00"/>
    <x v="2"/>
  </r>
  <r>
    <s v="B195"/>
    <x v="4"/>
    <x v="4"/>
    <n v="6.3"/>
    <s v="NMT 6"/>
    <x v="1"/>
    <d v="2025-06-15T00:00:00"/>
    <x v="4"/>
  </r>
  <r>
    <s v="B196"/>
    <x v="0"/>
    <x v="1"/>
    <n v="92"/>
    <s v="NLT 85"/>
    <x v="0"/>
    <d v="2025-06-16T00:00:00"/>
    <x v="0"/>
  </r>
  <r>
    <s v="B197"/>
    <x v="1"/>
    <x v="0"/>
    <n v="100.6"/>
    <s v="95-105"/>
    <x v="0"/>
    <d v="2025-06-17T00:00:00"/>
    <x v="1"/>
  </r>
  <r>
    <s v="B198"/>
    <x v="2"/>
    <x v="3"/>
    <n v="5.8"/>
    <s v="5.0-7.0"/>
    <x v="0"/>
    <d v="2025-06-18T00:00:00"/>
    <x v="2"/>
  </r>
  <r>
    <s v="B199"/>
    <x v="3"/>
    <x v="2"/>
    <n v="0.22"/>
    <s v="NMT 0.2"/>
    <x v="1"/>
    <d v="2025-06-19T00:00:00"/>
    <x v="3"/>
  </r>
  <r>
    <s v="B200"/>
    <x v="4"/>
    <x v="4"/>
    <n v="5.7"/>
    <s v="NMT 6"/>
    <x v="0"/>
    <d v="2025-06-20T00:00:00"/>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7" rowHeaderCaption="OOS">
  <location ref="F3:G6" firstHeaderRow="1" firstDataRow="1" firstDataCol="1"/>
  <pivotFields count="8">
    <pivotField dataField="1" showAll="0"/>
    <pivotField showAll="0">
      <items count="6">
        <item x="2"/>
        <item x="3"/>
        <item x="1"/>
        <item x="4"/>
        <item x="0"/>
        <item t="default"/>
      </items>
    </pivotField>
    <pivotField showAll="0">
      <items count="6">
        <item x="0"/>
        <item x="1"/>
        <item x="2"/>
        <item x="3"/>
        <item x="4"/>
        <item t="default"/>
      </items>
    </pivotField>
    <pivotField showAll="0"/>
    <pivotField showAll="0"/>
    <pivotField axis="axisRow" showAll="0">
      <items count="3">
        <item n="Within Specification" x="0"/>
        <item n="OOS (Out of Specification)" x="1"/>
        <item t="default"/>
      </items>
    </pivotField>
    <pivotField numFmtId="14" showAll="0"/>
    <pivotField showAll="0">
      <items count="6">
        <item x="1"/>
        <item x="4"/>
        <item x="2"/>
        <item x="3"/>
        <item x="0"/>
        <item t="default"/>
      </items>
    </pivotField>
  </pivotFields>
  <rowFields count="1">
    <field x="5"/>
  </rowFields>
  <rowItems count="3">
    <i>
      <x/>
    </i>
    <i>
      <x v="1"/>
    </i>
    <i t="grand">
      <x/>
    </i>
  </rowItems>
  <colItems count="1">
    <i/>
  </colItems>
  <dataFields count="1">
    <dataField name="Count of Batch_Number" fld="0" subtotal="count" baseField="0" baseItem="0"/>
  </dataFields>
  <chartFormats count="9">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5" count="1" selected="0">
            <x v="0"/>
          </reference>
        </references>
      </pivotArea>
    </chartFormat>
    <chartFormat chart="8" format="8">
      <pivotArea type="data" outline="0" fieldPosition="0">
        <references count="2">
          <reference field="4294967294" count="1" selected="0">
            <x v="0"/>
          </reference>
          <reference field="5" count="1" selected="0">
            <x v="1"/>
          </reference>
        </references>
      </pivotArea>
    </chartFormat>
    <chartFormat chart="12" format="9" series="1">
      <pivotArea type="data" outline="0" fieldPosition="0">
        <references count="1">
          <reference field="4294967294" count="1" selected="0">
            <x v="0"/>
          </reference>
        </references>
      </pivotArea>
    </chartFormat>
    <chartFormat chart="12" format="10">
      <pivotArea type="data" outline="0" fieldPosition="0">
        <references count="2">
          <reference field="4294967294" count="1" selected="0">
            <x v="0"/>
          </reference>
          <reference field="5" count="1" selected="0">
            <x v="0"/>
          </reference>
        </references>
      </pivotArea>
    </chartFormat>
    <chartFormat chart="12" format="11">
      <pivotArea type="data" outline="0" fieldPosition="0">
        <references count="2">
          <reference field="4294967294" count="1" selected="0">
            <x v="0"/>
          </reference>
          <reference field="5" count="1" selected="0">
            <x v="1"/>
          </reference>
        </references>
      </pivotArea>
    </chartFormat>
    <chartFormat chart="28" format="18" series="1">
      <pivotArea type="data" outline="0" fieldPosition="0">
        <references count="1">
          <reference field="4294967294" count="1" selected="0">
            <x v="0"/>
          </reference>
        </references>
      </pivotArea>
    </chartFormat>
    <chartFormat chart="28" format="19">
      <pivotArea type="data" outline="0" fieldPosition="0">
        <references count="2">
          <reference field="4294967294" count="1" selected="0">
            <x v="0"/>
          </reference>
          <reference field="5" count="1" selected="0">
            <x v="0"/>
          </reference>
        </references>
      </pivotArea>
    </chartFormat>
    <chartFormat chart="28" format="20">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1:A2" firstHeaderRow="1" firstDataRow="1" firstDataCol="0"/>
  <pivotFields count="8">
    <pivotField dataField="1" showAll="0"/>
    <pivotField showAll="0">
      <items count="6">
        <item x="2"/>
        <item x="3"/>
        <item x="1"/>
        <item x="4"/>
        <item x="0"/>
        <item t="default"/>
      </items>
    </pivotField>
    <pivotField showAll="0">
      <items count="6">
        <item x="0"/>
        <item x="1"/>
        <item x="2"/>
        <item x="3"/>
        <item x="4"/>
        <item t="default"/>
      </items>
    </pivotField>
    <pivotField showAll="0"/>
    <pivotField showAll="0"/>
    <pivotField showAll="0"/>
    <pivotField numFmtId="14" showAll="0"/>
    <pivotField showAll="0">
      <items count="6">
        <item x="1"/>
        <item x="4"/>
        <item x="2"/>
        <item x="3"/>
        <item x="0"/>
        <item t="default"/>
      </items>
    </pivotField>
  </pivotFields>
  <rowItems count="1">
    <i/>
  </rowItems>
  <colItems count="1">
    <i/>
  </colItems>
  <dataFields count="1">
    <dataField name="Count of Batch_Numb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3">
  <location ref="A3:D10" firstHeaderRow="1" firstDataRow="2" firstDataCol="1"/>
  <pivotFields count="8">
    <pivotField dataField="1" showAll="0"/>
    <pivotField showAll="0">
      <items count="6">
        <item x="2"/>
        <item x="3"/>
        <item x="1"/>
        <item x="4"/>
        <item x="0"/>
        <item t="default"/>
      </items>
    </pivotField>
    <pivotField axis="axisRow" showAll="0">
      <items count="6">
        <item x="0"/>
        <item x="1"/>
        <item x="2"/>
        <item x="3"/>
        <item x="4"/>
        <item t="default"/>
      </items>
    </pivotField>
    <pivotField showAll="0"/>
    <pivotField showAll="0"/>
    <pivotField axis="axisCol" showAll="0">
      <items count="3">
        <item x="0"/>
        <item x="1"/>
        <item t="default"/>
      </items>
    </pivotField>
    <pivotField numFmtId="14" showAll="0"/>
    <pivotField showAll="0">
      <items count="6">
        <item x="1"/>
        <item x="4"/>
        <item x="2"/>
        <item x="3"/>
        <item x="0"/>
        <item t="default"/>
      </items>
    </pivotField>
  </pivotFields>
  <rowFields count="1">
    <field x="2"/>
  </rowFields>
  <rowItems count="6">
    <i>
      <x/>
    </i>
    <i>
      <x v="1"/>
    </i>
    <i>
      <x v="2"/>
    </i>
    <i>
      <x v="3"/>
    </i>
    <i>
      <x v="4"/>
    </i>
    <i t="grand">
      <x/>
    </i>
  </rowItems>
  <colFields count="1">
    <field x="5"/>
  </colFields>
  <colItems count="3">
    <i>
      <x/>
    </i>
    <i>
      <x v="1"/>
    </i>
    <i t="grand">
      <x/>
    </i>
  </colItems>
  <dataFields count="1">
    <dataField name="Count of Batch_Number" fld="0" subtotal="count" baseField="0" baseItem="0"/>
  </dataFields>
  <formats count="4">
    <format dxfId="11">
      <pivotArea dataOnly="0" labelOnly="1" fieldPosition="0">
        <references count="1">
          <reference field="5" count="1">
            <x v="0"/>
          </reference>
        </references>
      </pivotArea>
    </format>
    <format dxfId="10">
      <pivotArea outline="0" collapsedLevelsAreSubtotals="1" fieldPosition="0">
        <references count="1">
          <reference field="5" count="1" selected="0">
            <x v="0"/>
          </reference>
        </references>
      </pivotArea>
    </format>
    <format dxfId="9">
      <pivotArea outline="0" collapsedLevelsAreSubtotals="1" fieldPosition="0">
        <references count="1">
          <reference field="5" count="1" selected="0">
            <x v="1"/>
          </reference>
        </references>
      </pivotArea>
    </format>
    <format dxfId="8">
      <pivotArea dataOnly="0" labelOnly="1" fieldPosition="0">
        <references count="1">
          <reference field="5" count="1">
            <x v="1"/>
          </reference>
        </references>
      </pivotArea>
    </format>
  </formats>
  <chartFormats count="8">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6" format="6">
      <pivotArea type="data" outline="0" fieldPosition="0">
        <references count="3">
          <reference field="4294967294" count="1" selected="0">
            <x v="0"/>
          </reference>
          <reference field="2" count="1" selected="0">
            <x v="2"/>
          </reference>
          <reference field="5" count="1" selected="0">
            <x v="1"/>
          </reference>
        </references>
      </pivotArea>
    </chartFormat>
    <chartFormat chart="7" format="7" series="1">
      <pivotArea type="data" outline="0" fieldPosition="0">
        <references count="2">
          <reference field="4294967294" count="1" selected="0">
            <x v="0"/>
          </reference>
          <reference field="5" count="1" selected="0">
            <x v="0"/>
          </reference>
        </references>
      </pivotArea>
    </chartFormat>
    <chartFormat chart="7" format="8" series="1">
      <pivotArea type="data" outline="0" fieldPosition="0">
        <references count="2">
          <reference field="4294967294" count="1" selected="0">
            <x v="0"/>
          </reference>
          <reference field="5" count="1" selected="0">
            <x v="1"/>
          </reference>
        </references>
      </pivotArea>
    </chartFormat>
    <chartFormat chart="7" format="9">
      <pivotArea type="data" outline="0" fieldPosition="0">
        <references count="3">
          <reference field="4294967294" count="1" selected="0">
            <x v="0"/>
          </reference>
          <reference field="2" count="1" selected="0">
            <x v="2"/>
          </reference>
          <reference field="5" count="1" selected="0">
            <x v="1"/>
          </reference>
        </references>
      </pivotArea>
    </chartFormat>
    <chartFormat chart="23" format="15" series="1">
      <pivotArea type="data" outline="0" fieldPosition="0">
        <references count="2">
          <reference field="4294967294" count="1" selected="0">
            <x v="0"/>
          </reference>
          <reference field="5" count="1" selected="0">
            <x v="0"/>
          </reference>
        </references>
      </pivotArea>
    </chartFormat>
    <chartFormat chart="23" format="16" series="1">
      <pivotArea type="data" outline="0" fieldPosition="0">
        <references count="2">
          <reference field="4294967294" count="1" selected="0">
            <x v="0"/>
          </reference>
          <reference field="5" count="1" selected="0">
            <x v="1"/>
          </reference>
        </references>
      </pivotArea>
    </chartFormat>
  </chartFormats>
  <pivotTableStyleInfo name="PivotStyleMedium1"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0">
  <location ref="I3:J9" firstHeaderRow="1" firstDataRow="1" firstDataCol="1"/>
  <pivotFields count="8">
    <pivotField dataField="1" showAll="0"/>
    <pivotField showAll="0">
      <items count="6">
        <item x="2"/>
        <item x="3"/>
        <item x="1"/>
        <item x="4"/>
        <item x="0"/>
        <item t="default"/>
      </items>
    </pivotField>
    <pivotField showAll="0">
      <items count="6">
        <item x="0"/>
        <item x="1"/>
        <item x="2"/>
        <item x="3"/>
        <item x="4"/>
        <item t="default"/>
      </items>
    </pivotField>
    <pivotField showAll="0"/>
    <pivotField showAll="0"/>
    <pivotField showAll="0"/>
    <pivotField numFmtId="14" showAll="0"/>
    <pivotField axis="axisRow" showAll="0" sortType="descending">
      <items count="6">
        <item x="1"/>
        <item x="4"/>
        <item x="2"/>
        <item x="3"/>
        <item x="0"/>
        <item t="default"/>
      </items>
      <autoSortScope>
        <pivotArea dataOnly="0" outline="0" fieldPosition="0">
          <references count="1">
            <reference field="4294967294" count="1" selected="0">
              <x v="0"/>
            </reference>
          </references>
        </pivotArea>
      </autoSortScope>
    </pivotField>
  </pivotFields>
  <rowFields count="1">
    <field x="7"/>
  </rowFields>
  <rowItems count="6">
    <i>
      <x/>
    </i>
    <i>
      <x v="2"/>
    </i>
    <i>
      <x v="3"/>
    </i>
    <i>
      <x v="4"/>
    </i>
    <i>
      <x v="1"/>
    </i>
    <i t="grand">
      <x/>
    </i>
  </rowItems>
  <colItems count="1">
    <i/>
  </colItems>
  <dataFields count="1">
    <dataField name="Count of Batch_Number" fld="0" subtotal="count" baseField="0" baseItem="0"/>
  </dataFields>
  <chartFormats count="7">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7"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7" count="1" selected="0">
            <x v="0"/>
          </reference>
        </references>
      </pivotArea>
    </chartFormat>
    <chartFormat chart="6" format="4">
      <pivotArea type="data" outline="0" fieldPosition="0">
        <references count="2">
          <reference field="4294967294" count="1" selected="0">
            <x v="0"/>
          </reference>
          <reference field="7" count="1" selected="0">
            <x v="1"/>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4">
  <location ref="A12:B18" firstHeaderRow="1" firstDataRow="1" firstDataCol="1"/>
  <pivotFields count="8">
    <pivotField dataField="1" showAll="0"/>
    <pivotField showAll="0">
      <items count="6">
        <item x="2"/>
        <item x="3"/>
        <item x="1"/>
        <item x="4"/>
        <item x="0"/>
        <item t="default"/>
      </items>
    </pivotField>
    <pivotField axis="axisRow" showAll="0">
      <items count="6">
        <item x="0"/>
        <item x="1"/>
        <item x="2"/>
        <item x="3"/>
        <item x="4"/>
        <item t="default"/>
      </items>
    </pivotField>
    <pivotField showAll="0"/>
    <pivotField showAll="0"/>
    <pivotField showAll="0"/>
    <pivotField numFmtId="14" showAll="0"/>
    <pivotField showAll="0">
      <items count="6">
        <item x="1"/>
        <item x="4"/>
        <item x="2"/>
        <item x="3"/>
        <item x="0"/>
        <item t="default"/>
      </items>
    </pivotField>
  </pivotFields>
  <rowFields count="1">
    <field x="2"/>
  </rowFields>
  <rowItems count="6">
    <i>
      <x/>
    </i>
    <i>
      <x v="1"/>
    </i>
    <i>
      <x v="2"/>
    </i>
    <i>
      <x v="3"/>
    </i>
    <i>
      <x v="4"/>
    </i>
    <i t="grand">
      <x/>
    </i>
  </rowItems>
  <colItems count="1">
    <i/>
  </colItems>
  <dataFields count="1">
    <dataField name="Count of Batch_Number" fld="0" subtotal="count" baseField="0" baseItem="0"/>
  </dataFields>
  <chartFormats count="6">
    <chartFormat chart="11"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2" count="1" selected="0">
            <x v="0"/>
          </reference>
        </references>
      </pivotArea>
    </chartFormat>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2" count="1" selected="0">
            <x v="0"/>
          </reference>
        </references>
      </pivotArea>
    </chartFormat>
    <chartFormat chart="29"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2">
  <location ref="F12:G18" firstHeaderRow="1" firstDataRow="1" firstDataCol="1"/>
  <pivotFields count="8">
    <pivotField dataField="1" showAll="0"/>
    <pivotField axis="axisRow" showAll="0" sortType="descending">
      <items count="6">
        <item x="2"/>
        <item x="3"/>
        <item x="1"/>
        <item x="4"/>
        <item x="0"/>
        <item t="default"/>
      </items>
      <autoSortScope>
        <pivotArea dataOnly="0" outline="0" fieldPosition="0">
          <references count="1">
            <reference field="4294967294" count="1" selected="0">
              <x v="0"/>
            </reference>
          </references>
        </pivotArea>
      </autoSortScope>
    </pivotField>
    <pivotField showAll="0">
      <items count="6">
        <item x="0"/>
        <item x="1"/>
        <item x="2"/>
        <item x="3"/>
        <item x="4"/>
        <item t="default"/>
      </items>
    </pivotField>
    <pivotField showAll="0"/>
    <pivotField showAll="0"/>
    <pivotField showAll="0"/>
    <pivotField numFmtId="14" showAll="0"/>
    <pivotField showAll="0">
      <items count="6">
        <item x="1"/>
        <item x="4"/>
        <item x="2"/>
        <item x="3"/>
        <item x="0"/>
        <item t="default"/>
      </items>
    </pivotField>
  </pivotFields>
  <rowFields count="1">
    <field x="1"/>
  </rowFields>
  <rowItems count="6">
    <i>
      <x v="1"/>
    </i>
    <i>
      <x v="2"/>
    </i>
    <i>
      <x/>
    </i>
    <i>
      <x v="3"/>
    </i>
    <i>
      <x v="4"/>
    </i>
    <i t="grand">
      <x/>
    </i>
  </rowItems>
  <colItems count="1">
    <i/>
  </colItems>
  <dataFields count="1">
    <dataField name="Count of Batch_Number" fld="0" subtotal="count" baseField="0" baseItem="0"/>
  </dataFields>
  <chartFormats count="9">
    <chartFormat chart="1"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1"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1" count="1" selected="0">
            <x v="1"/>
          </reference>
        </references>
      </pivotArea>
    </chartFormat>
    <chartFormat chart="23" format="9" series="1">
      <pivotArea type="data" outline="0" fieldPosition="0">
        <references count="1">
          <reference field="4294967294" count="1" selected="0">
            <x v="0"/>
          </reference>
        </references>
      </pivotArea>
    </chartFormat>
    <chartFormat chart="30" format="1" series="1">
      <pivotArea type="data" outline="0" fieldPosition="0">
        <references count="1">
          <reference field="4294967294" count="1" selected="0">
            <x v="0"/>
          </reference>
        </references>
      </pivotArea>
    </chartFormat>
    <chartFormat chart="23" format="10">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_Name" sourceName="Product_Name">
  <pivotTables>
    <pivotTable tabId="12" name="PivotTable2"/>
    <pivotTable tabId="12" name="PivotTable4"/>
    <pivotTable tabId="12" name="PivotTable3"/>
    <pivotTable tabId="12" name="PivotTable5"/>
    <pivotTable tabId="12" name="PivotTable6"/>
    <pivotTable tabId="12" name="PivotTable1"/>
  </pivotTables>
  <data>
    <tabular pivotCacheId="1">
      <items count="5">
        <i x="2" s="1"/>
        <i x="3" s="1"/>
        <i x="1"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Test_Parameter" sourceName="Test_Parameter">
  <pivotTables>
    <pivotTable tabId="12" name="PivotTable1"/>
    <pivotTable tabId="12" name="PivotTable2"/>
    <pivotTable tabId="12" name="PivotTable3"/>
    <pivotTable tabId="12" name="PivotTable4"/>
    <pivotTable tabId="12" name="PivotTable5"/>
    <pivotTable tabId="12" name="PivotTable6"/>
  </pivotTables>
  <data>
    <tabular pivotCacheId="1">
      <items count="5">
        <i x="0" s="1"/>
        <i x="1" s="1"/>
        <i x="2"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Analyst_Name" sourceName="Analyst_Name">
  <pivotTables>
    <pivotTable tabId="12" name="PivotTable1"/>
    <pivotTable tabId="12" name="PivotTable2"/>
    <pivotTable tabId="12" name="PivotTable4"/>
    <pivotTable tabId="12" name="PivotTable3"/>
    <pivotTable tabId="12" name="PivotTable5"/>
    <pivotTable tabId="12" name="PivotTable6"/>
  </pivotTables>
  <data>
    <tabular pivotCacheId="1">
      <items count="5">
        <i x="1" s="1"/>
        <i x="4"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_Name 3" cache="Slicer_Product_Name" caption="Product_Name" columnCount="2" rowHeight="241300"/>
  <slicer name="Test_Parameter 3" cache="Slicer_Test_Parameter" caption="Test_Parameter" columnCount="2" rowHeight="241300"/>
  <slicer name="Analyst_Name 2" cache="Slicer_Analyst_Name" caption="Analyst_Name" columnCount="2" rowHeight="241300"/>
</slicers>
</file>

<file path=xl/tables/table1.xml><?xml version="1.0" encoding="utf-8"?>
<table xmlns="http://schemas.openxmlformats.org/spreadsheetml/2006/main" id="1" name="Table1" displayName="Table1" ref="A1:H201" totalsRowShown="0" headerRowDxfId="7">
  <autoFilter ref="A1:H201"/>
  <tableColumns count="8">
    <tableColumn id="1" name="Batch_Number"/>
    <tableColumn id="2" name="Product_Name"/>
    <tableColumn id="3" name="Test_Parameter"/>
    <tableColumn id="4" name="Result_Value"/>
    <tableColumn id="5" name="Specific_Limit"/>
    <tableColumn id="6" name="OOS"/>
    <tableColumn id="7" name="Test_Date" dataDxfId="6"/>
    <tableColumn id="8" name="Analyst_Name"/>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A1:D2" totalsRowShown="0" headerRowDxfId="5" dataDxfId="4">
  <autoFilter ref="A1:D2"/>
  <tableColumns count="4">
    <tableColumn id="1" name="Total Batches" dataDxfId="3">
      <calculatedColumnFormula>COUNTA([1]Data!A2:A201)</calculatedColumnFormula>
    </tableColumn>
    <tableColumn id="2" name="Total tests" dataDxfId="2"/>
    <tableColumn id="3" name="OOS Count" dataDxfId="1">
      <calculatedColumnFormula>COUNTIF(pharma_qc_dataset!F:F,"Yes")</calculatedColumnFormula>
    </tableColumn>
    <tableColumn id="4" name="OOS Rate" dataDxfId="0" dataCellStyle="Note">
      <calculatedColumnFormula>COUNTIF(pharma_qc_dataset!F:F,"Yes")/COUNTA(pharma_qc_dataset!A2:A201)</calculatedColumnFormula>
    </tableColumn>
  </tableColumns>
  <tableStyleInfo name="TableStyleMedium2" showFirstColumn="0"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selection activeCell="F12" sqref="F12"/>
    </sheetView>
  </sheetViews>
  <sheetFormatPr defaultRowHeight="15" x14ac:dyDescent="0.25"/>
  <cols>
    <col min="1" max="1" width="13.140625" customWidth="1"/>
    <col min="2" max="2" width="22.5703125" customWidth="1"/>
    <col min="3" max="3" width="4" customWidth="1"/>
    <col min="4" max="4" width="11.140625" bestFit="1" customWidth="1"/>
    <col min="6" max="6" width="18.42578125" customWidth="1"/>
    <col min="7" max="7" width="22.5703125" customWidth="1"/>
    <col min="9" max="9" width="13.140625" customWidth="1"/>
    <col min="10" max="10" width="22.5703125" customWidth="1"/>
  </cols>
  <sheetData>
    <row r="1" spans="1:10" x14ac:dyDescent="0.25">
      <c r="A1" t="s">
        <v>230</v>
      </c>
    </row>
    <row r="2" spans="1:10" x14ac:dyDescent="0.25">
      <c r="A2" s="3">
        <v>200</v>
      </c>
    </row>
    <row r="3" spans="1:10" x14ac:dyDescent="0.25">
      <c r="A3" s="4" t="s">
        <v>230</v>
      </c>
      <c r="B3" s="4" t="s">
        <v>237</v>
      </c>
      <c r="F3" s="4" t="s">
        <v>5</v>
      </c>
      <c r="G3" t="s">
        <v>230</v>
      </c>
      <c r="I3" s="4" t="s">
        <v>231</v>
      </c>
      <c r="J3" t="s">
        <v>230</v>
      </c>
    </row>
    <row r="4" spans="1:10" x14ac:dyDescent="0.25">
      <c r="A4" s="4" t="s">
        <v>231</v>
      </c>
      <c r="B4" s="6" t="s">
        <v>12</v>
      </c>
      <c r="C4" s="6" t="s">
        <v>23</v>
      </c>
      <c r="D4" t="s">
        <v>232</v>
      </c>
      <c r="F4" s="5" t="s">
        <v>239</v>
      </c>
      <c r="G4" s="3">
        <v>167</v>
      </c>
      <c r="I4" s="5" t="s">
        <v>18</v>
      </c>
      <c r="J4" s="3">
        <v>44</v>
      </c>
    </row>
    <row r="5" spans="1:10" x14ac:dyDescent="0.25">
      <c r="A5" s="5" t="s">
        <v>10</v>
      </c>
      <c r="B5" s="7">
        <v>42</v>
      </c>
      <c r="C5" s="7">
        <v>2</v>
      </c>
      <c r="D5" s="3">
        <v>44</v>
      </c>
      <c r="F5" s="5" t="s">
        <v>238</v>
      </c>
      <c r="G5" s="3">
        <v>33</v>
      </c>
      <c r="I5" s="5" t="s">
        <v>24</v>
      </c>
      <c r="J5" s="3">
        <v>43</v>
      </c>
    </row>
    <row r="6" spans="1:10" x14ac:dyDescent="0.25">
      <c r="A6" s="5" t="s">
        <v>16</v>
      </c>
      <c r="B6" s="7">
        <v>38</v>
      </c>
      <c r="C6" s="7">
        <v>1</v>
      </c>
      <c r="D6" s="3">
        <v>39</v>
      </c>
      <c r="F6" s="5" t="s">
        <v>232</v>
      </c>
      <c r="G6" s="3">
        <v>200</v>
      </c>
      <c r="I6" s="5" t="s">
        <v>29</v>
      </c>
      <c r="J6" s="3">
        <v>39</v>
      </c>
    </row>
    <row r="7" spans="1:10" x14ac:dyDescent="0.25">
      <c r="A7" s="5" t="s">
        <v>21</v>
      </c>
      <c r="B7" s="7">
        <v>25</v>
      </c>
      <c r="C7" s="7">
        <v>14</v>
      </c>
      <c r="D7" s="3">
        <v>39</v>
      </c>
      <c r="I7" s="5" t="s">
        <v>13</v>
      </c>
      <c r="J7" s="3">
        <v>38</v>
      </c>
    </row>
    <row r="8" spans="1:10" x14ac:dyDescent="0.25">
      <c r="A8" s="5" t="s">
        <v>27</v>
      </c>
      <c r="B8" s="7">
        <v>34</v>
      </c>
      <c r="C8" s="7">
        <v>5</v>
      </c>
      <c r="D8" s="3">
        <v>39</v>
      </c>
      <c r="I8" s="5" t="s">
        <v>34</v>
      </c>
      <c r="J8" s="3">
        <v>36</v>
      </c>
    </row>
    <row r="9" spans="1:10" x14ac:dyDescent="0.25">
      <c r="A9" s="5" t="s">
        <v>32</v>
      </c>
      <c r="B9" s="7">
        <v>28</v>
      </c>
      <c r="C9" s="7">
        <v>11</v>
      </c>
      <c r="D9" s="3">
        <v>39</v>
      </c>
      <c r="I9" s="5" t="s">
        <v>232</v>
      </c>
      <c r="J9" s="3">
        <v>200</v>
      </c>
    </row>
    <row r="10" spans="1:10" x14ac:dyDescent="0.25">
      <c r="A10" s="5" t="s">
        <v>232</v>
      </c>
      <c r="B10" s="7">
        <v>167</v>
      </c>
      <c r="C10" s="7">
        <v>33</v>
      </c>
      <c r="D10" s="3">
        <v>200</v>
      </c>
    </row>
    <row r="12" spans="1:10" x14ac:dyDescent="0.25">
      <c r="A12" s="4" t="s">
        <v>231</v>
      </c>
      <c r="B12" t="s">
        <v>230</v>
      </c>
      <c r="F12" s="4" t="s">
        <v>231</v>
      </c>
      <c r="G12" t="s">
        <v>230</v>
      </c>
    </row>
    <row r="13" spans="1:10" x14ac:dyDescent="0.25">
      <c r="A13" s="5" t="s">
        <v>10</v>
      </c>
      <c r="B13" s="3">
        <v>44</v>
      </c>
      <c r="F13" s="5" t="s">
        <v>26</v>
      </c>
      <c r="G13" s="3">
        <v>44</v>
      </c>
    </row>
    <row r="14" spans="1:10" x14ac:dyDescent="0.25">
      <c r="A14" s="5" t="s">
        <v>16</v>
      </c>
      <c r="B14" s="3">
        <v>39</v>
      </c>
      <c r="F14" s="5" t="s">
        <v>15</v>
      </c>
      <c r="G14" s="3">
        <v>43</v>
      </c>
    </row>
    <row r="15" spans="1:10" x14ac:dyDescent="0.25">
      <c r="A15" s="5" t="s">
        <v>21</v>
      </c>
      <c r="B15" s="3">
        <v>39</v>
      </c>
      <c r="F15" s="5" t="s">
        <v>20</v>
      </c>
      <c r="G15" s="3">
        <v>40</v>
      </c>
    </row>
    <row r="16" spans="1:10" x14ac:dyDescent="0.25">
      <c r="A16" s="5" t="s">
        <v>27</v>
      </c>
      <c r="B16" s="3">
        <v>39</v>
      </c>
      <c r="F16" s="5" t="s">
        <v>31</v>
      </c>
      <c r="G16" s="3">
        <v>37</v>
      </c>
    </row>
    <row r="17" spans="1:7" x14ac:dyDescent="0.25">
      <c r="A17" s="5" t="s">
        <v>32</v>
      </c>
      <c r="B17" s="3">
        <v>39</v>
      </c>
      <c r="F17" s="5" t="s">
        <v>9</v>
      </c>
      <c r="G17" s="3">
        <v>36</v>
      </c>
    </row>
    <row r="18" spans="1:7" x14ac:dyDescent="0.25">
      <c r="A18" s="5" t="s">
        <v>232</v>
      </c>
      <c r="B18" s="3">
        <v>200</v>
      </c>
      <c r="F18" s="5" t="s">
        <v>232</v>
      </c>
      <c r="G18" s="3">
        <v>200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01"/>
  <sheetViews>
    <sheetView workbookViewId="0">
      <selection activeCell="B109" sqref="B109"/>
    </sheetView>
  </sheetViews>
  <sheetFormatPr defaultRowHeight="15" x14ac:dyDescent="0.25"/>
  <cols>
    <col min="1" max="1" width="17.42578125" customWidth="1"/>
    <col min="2" max="2" width="19.28515625" customWidth="1"/>
    <col min="3" max="3" width="17.42578125" customWidth="1"/>
    <col min="4" max="4" width="14.85546875" customWidth="1"/>
    <col min="5" max="5" width="15.5703125" customWidth="1"/>
    <col min="7" max="7" width="13.7109375" customWidth="1"/>
    <col min="8" max="8" width="16.140625" customWidth="1"/>
  </cols>
  <sheetData>
    <row r="1" spans="1:8" x14ac:dyDescent="0.25">
      <c r="A1" s="2" t="s">
        <v>0</v>
      </c>
      <c r="B1" s="2" t="s">
        <v>1</v>
      </c>
      <c r="C1" s="2" t="s">
        <v>2</v>
      </c>
      <c r="D1" s="2" t="s">
        <v>3</v>
      </c>
      <c r="E1" s="2" t="s">
        <v>4</v>
      </c>
      <c r="F1" s="2" t="s">
        <v>5</v>
      </c>
      <c r="G1" s="2" t="s">
        <v>6</v>
      </c>
      <c r="H1" s="2" t="s">
        <v>7</v>
      </c>
    </row>
    <row r="2" spans="1:8" x14ac:dyDescent="0.25">
      <c r="A2" t="s">
        <v>8</v>
      </c>
      <c r="B2" t="s">
        <v>9</v>
      </c>
      <c r="C2" t="s">
        <v>10</v>
      </c>
      <c r="D2">
        <v>99.2</v>
      </c>
      <c r="E2" t="s">
        <v>11</v>
      </c>
      <c r="F2" t="s">
        <v>12</v>
      </c>
      <c r="G2" s="1">
        <v>45658</v>
      </c>
      <c r="H2" t="s">
        <v>13</v>
      </c>
    </row>
    <row r="3" spans="1:8" x14ac:dyDescent="0.25">
      <c r="A3" t="s">
        <v>14</v>
      </c>
      <c r="B3" t="s">
        <v>15</v>
      </c>
      <c r="C3" t="s">
        <v>16</v>
      </c>
      <c r="D3">
        <v>90</v>
      </c>
      <c r="E3" t="s">
        <v>17</v>
      </c>
      <c r="F3" t="s">
        <v>12</v>
      </c>
      <c r="G3" s="1">
        <v>45659</v>
      </c>
      <c r="H3" t="s">
        <v>18</v>
      </c>
    </row>
    <row r="4" spans="1:8" x14ac:dyDescent="0.25">
      <c r="A4" t="s">
        <v>19</v>
      </c>
      <c r="B4" t="s">
        <v>20</v>
      </c>
      <c r="C4" t="s">
        <v>21</v>
      </c>
      <c r="D4">
        <v>0.25</v>
      </c>
      <c r="E4" t="s">
        <v>22</v>
      </c>
      <c r="F4" t="s">
        <v>23</v>
      </c>
      <c r="G4" s="1">
        <v>45660</v>
      </c>
      <c r="H4" t="s">
        <v>24</v>
      </c>
    </row>
    <row r="5" spans="1:8" x14ac:dyDescent="0.25">
      <c r="A5" t="s">
        <v>25</v>
      </c>
      <c r="B5" t="s">
        <v>26</v>
      </c>
      <c r="C5" t="s">
        <v>27</v>
      </c>
      <c r="D5">
        <v>6.2</v>
      </c>
      <c r="E5" t="s">
        <v>28</v>
      </c>
      <c r="F5" t="s">
        <v>12</v>
      </c>
      <c r="G5" s="1">
        <v>45661</v>
      </c>
      <c r="H5" t="s">
        <v>29</v>
      </c>
    </row>
    <row r="6" spans="1:8" x14ac:dyDescent="0.25">
      <c r="A6" t="s">
        <v>30</v>
      </c>
      <c r="B6" t="s">
        <v>31</v>
      </c>
      <c r="C6" t="s">
        <v>32</v>
      </c>
      <c r="D6">
        <v>5.3</v>
      </c>
      <c r="E6" t="s">
        <v>33</v>
      </c>
      <c r="F6" t="s">
        <v>12</v>
      </c>
      <c r="G6" s="1">
        <v>45662</v>
      </c>
      <c r="H6" t="s">
        <v>34</v>
      </c>
    </row>
    <row r="7" spans="1:8" x14ac:dyDescent="0.25">
      <c r="A7" t="s">
        <v>35</v>
      </c>
      <c r="B7" t="s">
        <v>9</v>
      </c>
      <c r="C7" t="s">
        <v>16</v>
      </c>
      <c r="D7">
        <v>92</v>
      </c>
      <c r="E7" t="s">
        <v>17</v>
      </c>
      <c r="F7" t="s">
        <v>12</v>
      </c>
      <c r="G7" s="1">
        <v>45663</v>
      </c>
      <c r="H7" t="s">
        <v>13</v>
      </c>
    </row>
    <row r="8" spans="1:8" x14ac:dyDescent="0.25">
      <c r="A8" t="s">
        <v>36</v>
      </c>
      <c r="B8" t="s">
        <v>15</v>
      </c>
      <c r="C8" t="s">
        <v>10</v>
      </c>
      <c r="D8">
        <v>101.4</v>
      </c>
      <c r="E8" t="s">
        <v>11</v>
      </c>
      <c r="F8" t="s">
        <v>12</v>
      </c>
      <c r="G8" s="1">
        <v>45664</v>
      </c>
      <c r="H8" t="s">
        <v>18</v>
      </c>
    </row>
    <row r="9" spans="1:8" x14ac:dyDescent="0.25">
      <c r="A9" t="s">
        <v>37</v>
      </c>
      <c r="B9" t="s">
        <v>20</v>
      </c>
      <c r="C9" t="s">
        <v>27</v>
      </c>
      <c r="D9">
        <v>7.2</v>
      </c>
      <c r="E9" t="s">
        <v>28</v>
      </c>
      <c r="F9" t="s">
        <v>23</v>
      </c>
      <c r="G9" s="1">
        <v>45665</v>
      </c>
      <c r="H9" t="s">
        <v>24</v>
      </c>
    </row>
    <row r="10" spans="1:8" x14ac:dyDescent="0.25">
      <c r="A10" t="s">
        <v>38</v>
      </c>
      <c r="B10" t="s">
        <v>26</v>
      </c>
      <c r="C10" t="s">
        <v>21</v>
      </c>
      <c r="D10">
        <v>0.15</v>
      </c>
      <c r="E10" t="s">
        <v>22</v>
      </c>
      <c r="F10" t="s">
        <v>12</v>
      </c>
      <c r="G10" s="1">
        <v>45666</v>
      </c>
      <c r="H10" t="s">
        <v>29</v>
      </c>
    </row>
    <row r="11" spans="1:8" x14ac:dyDescent="0.25">
      <c r="A11" t="s">
        <v>39</v>
      </c>
      <c r="B11" t="s">
        <v>31</v>
      </c>
      <c r="C11" t="s">
        <v>32</v>
      </c>
      <c r="D11">
        <v>6.5</v>
      </c>
      <c r="E11" t="s">
        <v>33</v>
      </c>
      <c r="F11" t="s">
        <v>23</v>
      </c>
      <c r="G11" s="1">
        <v>45667</v>
      </c>
      <c r="H11" t="s">
        <v>34</v>
      </c>
    </row>
    <row r="12" spans="1:8" x14ac:dyDescent="0.25">
      <c r="A12" t="s">
        <v>40</v>
      </c>
      <c r="B12" t="s">
        <v>9</v>
      </c>
      <c r="C12" t="s">
        <v>10</v>
      </c>
      <c r="D12">
        <v>98.6</v>
      </c>
      <c r="E12" t="s">
        <v>11</v>
      </c>
      <c r="F12" t="s">
        <v>12</v>
      </c>
      <c r="G12" s="1">
        <v>45668</v>
      </c>
      <c r="H12" t="s">
        <v>13</v>
      </c>
    </row>
    <row r="13" spans="1:8" x14ac:dyDescent="0.25">
      <c r="A13" t="s">
        <v>41</v>
      </c>
      <c r="B13" t="s">
        <v>15</v>
      </c>
      <c r="C13" t="s">
        <v>16</v>
      </c>
      <c r="D13">
        <v>88</v>
      </c>
      <c r="E13" t="s">
        <v>17</v>
      </c>
      <c r="F13" t="s">
        <v>12</v>
      </c>
      <c r="G13" s="1">
        <v>45669</v>
      </c>
      <c r="H13" t="s">
        <v>18</v>
      </c>
    </row>
    <row r="14" spans="1:8" x14ac:dyDescent="0.25">
      <c r="A14" t="s">
        <v>42</v>
      </c>
      <c r="B14" t="s">
        <v>20</v>
      </c>
      <c r="C14" t="s">
        <v>21</v>
      </c>
      <c r="D14">
        <v>0.18</v>
      </c>
      <c r="E14" t="s">
        <v>22</v>
      </c>
      <c r="F14" t="s">
        <v>12</v>
      </c>
      <c r="G14" s="1">
        <v>45670</v>
      </c>
      <c r="H14" t="s">
        <v>24</v>
      </c>
    </row>
    <row r="15" spans="1:8" x14ac:dyDescent="0.25">
      <c r="A15" t="s">
        <v>43</v>
      </c>
      <c r="B15" t="s">
        <v>26</v>
      </c>
      <c r="C15" t="s">
        <v>27</v>
      </c>
      <c r="D15">
        <v>6.8</v>
      </c>
      <c r="E15" t="s">
        <v>28</v>
      </c>
      <c r="F15" t="s">
        <v>12</v>
      </c>
      <c r="G15" s="1">
        <v>45671</v>
      </c>
      <c r="H15" t="s">
        <v>29</v>
      </c>
    </row>
    <row r="16" spans="1:8" x14ac:dyDescent="0.25">
      <c r="A16" t="s">
        <v>44</v>
      </c>
      <c r="B16" t="s">
        <v>31</v>
      </c>
      <c r="C16" t="s">
        <v>32</v>
      </c>
      <c r="D16">
        <v>5.9</v>
      </c>
      <c r="E16" t="s">
        <v>33</v>
      </c>
      <c r="F16" t="s">
        <v>12</v>
      </c>
      <c r="G16" s="1">
        <v>45672</v>
      </c>
      <c r="H16" t="s">
        <v>34</v>
      </c>
    </row>
    <row r="17" spans="1:8" x14ac:dyDescent="0.25">
      <c r="A17" t="s">
        <v>45</v>
      </c>
      <c r="B17" t="s">
        <v>9</v>
      </c>
      <c r="C17" t="s">
        <v>16</v>
      </c>
      <c r="D17">
        <v>93</v>
      </c>
      <c r="E17" t="s">
        <v>17</v>
      </c>
      <c r="F17" t="s">
        <v>12</v>
      </c>
      <c r="G17" s="1">
        <v>45673</v>
      </c>
      <c r="H17" t="s">
        <v>13</v>
      </c>
    </row>
    <row r="18" spans="1:8" x14ac:dyDescent="0.25">
      <c r="A18" t="s">
        <v>46</v>
      </c>
      <c r="B18" t="s">
        <v>15</v>
      </c>
      <c r="C18" t="s">
        <v>10</v>
      </c>
      <c r="D18">
        <v>102.3</v>
      </c>
      <c r="E18" t="s">
        <v>11</v>
      </c>
      <c r="F18" t="s">
        <v>12</v>
      </c>
      <c r="G18" s="1">
        <v>45674</v>
      </c>
      <c r="H18" t="s">
        <v>18</v>
      </c>
    </row>
    <row r="19" spans="1:8" x14ac:dyDescent="0.25">
      <c r="A19" t="s">
        <v>47</v>
      </c>
      <c r="B19" t="s">
        <v>20</v>
      </c>
      <c r="C19" t="s">
        <v>27</v>
      </c>
      <c r="D19">
        <v>5.4</v>
      </c>
      <c r="E19" t="s">
        <v>28</v>
      </c>
      <c r="F19" t="s">
        <v>12</v>
      </c>
      <c r="G19" s="1">
        <v>45675</v>
      </c>
      <c r="H19" t="s">
        <v>24</v>
      </c>
    </row>
    <row r="20" spans="1:8" x14ac:dyDescent="0.25">
      <c r="A20" t="s">
        <v>48</v>
      </c>
      <c r="B20" t="s">
        <v>26</v>
      </c>
      <c r="C20" t="s">
        <v>21</v>
      </c>
      <c r="D20">
        <v>0.22</v>
      </c>
      <c r="E20" t="s">
        <v>22</v>
      </c>
      <c r="F20" t="s">
        <v>23</v>
      </c>
      <c r="G20" s="1">
        <v>45676</v>
      </c>
      <c r="H20" t="s">
        <v>29</v>
      </c>
    </row>
    <row r="21" spans="1:8" x14ac:dyDescent="0.25">
      <c r="A21" t="s">
        <v>49</v>
      </c>
      <c r="B21" t="s">
        <v>31</v>
      </c>
      <c r="C21" t="s">
        <v>32</v>
      </c>
      <c r="D21">
        <v>5.2</v>
      </c>
      <c r="E21" t="s">
        <v>33</v>
      </c>
      <c r="F21" t="s">
        <v>12</v>
      </c>
      <c r="G21" s="1">
        <v>45677</v>
      </c>
      <c r="H21" t="s">
        <v>34</v>
      </c>
    </row>
    <row r="22" spans="1:8" x14ac:dyDescent="0.25">
      <c r="A22" t="s">
        <v>50</v>
      </c>
      <c r="B22" t="s">
        <v>9</v>
      </c>
      <c r="C22" t="s">
        <v>10</v>
      </c>
      <c r="D22">
        <v>97.5</v>
      </c>
      <c r="E22" t="s">
        <v>11</v>
      </c>
      <c r="F22" t="s">
        <v>12</v>
      </c>
      <c r="G22" s="1">
        <v>45678</v>
      </c>
      <c r="H22" t="s">
        <v>13</v>
      </c>
    </row>
    <row r="23" spans="1:8" x14ac:dyDescent="0.25">
      <c r="A23" t="s">
        <v>51</v>
      </c>
      <c r="B23" t="s">
        <v>15</v>
      </c>
      <c r="C23" t="s">
        <v>16</v>
      </c>
      <c r="D23">
        <v>91</v>
      </c>
      <c r="E23" t="s">
        <v>17</v>
      </c>
      <c r="F23" t="s">
        <v>12</v>
      </c>
      <c r="G23" s="1">
        <v>45679</v>
      </c>
      <c r="H23" t="s">
        <v>18</v>
      </c>
    </row>
    <row r="24" spans="1:8" x14ac:dyDescent="0.25">
      <c r="A24" t="s">
        <v>52</v>
      </c>
      <c r="B24" t="s">
        <v>20</v>
      </c>
      <c r="C24" t="s">
        <v>21</v>
      </c>
      <c r="D24">
        <v>0.14000000000000001</v>
      </c>
      <c r="E24" t="s">
        <v>22</v>
      </c>
      <c r="F24" t="s">
        <v>12</v>
      </c>
      <c r="G24" s="1">
        <v>45680</v>
      </c>
      <c r="H24" t="s">
        <v>24</v>
      </c>
    </row>
    <row r="25" spans="1:8" x14ac:dyDescent="0.25">
      <c r="A25" t="s">
        <v>53</v>
      </c>
      <c r="B25" t="s">
        <v>26</v>
      </c>
      <c r="C25" t="s">
        <v>27</v>
      </c>
      <c r="D25">
        <v>6.4</v>
      </c>
      <c r="E25" t="s">
        <v>28</v>
      </c>
      <c r="F25" t="s">
        <v>12</v>
      </c>
      <c r="G25" s="1">
        <v>45681</v>
      </c>
      <c r="H25" t="s">
        <v>29</v>
      </c>
    </row>
    <row r="26" spans="1:8" x14ac:dyDescent="0.25">
      <c r="A26" t="s">
        <v>54</v>
      </c>
      <c r="B26" t="s">
        <v>31</v>
      </c>
      <c r="C26" t="s">
        <v>32</v>
      </c>
      <c r="D26">
        <v>6.1</v>
      </c>
      <c r="E26" t="s">
        <v>33</v>
      </c>
      <c r="F26" t="s">
        <v>23</v>
      </c>
      <c r="G26" s="1">
        <v>45682</v>
      </c>
      <c r="H26" t="s">
        <v>34</v>
      </c>
    </row>
    <row r="27" spans="1:8" x14ac:dyDescent="0.25">
      <c r="A27" t="s">
        <v>55</v>
      </c>
      <c r="B27" t="s">
        <v>9</v>
      </c>
      <c r="C27" t="s">
        <v>16</v>
      </c>
      <c r="D27">
        <v>94</v>
      </c>
      <c r="E27" t="s">
        <v>17</v>
      </c>
      <c r="F27" t="s">
        <v>12</v>
      </c>
      <c r="G27" s="1">
        <v>45683</v>
      </c>
      <c r="H27" t="s">
        <v>13</v>
      </c>
    </row>
    <row r="28" spans="1:8" x14ac:dyDescent="0.25">
      <c r="A28" t="s">
        <v>56</v>
      </c>
      <c r="B28" t="s">
        <v>15</v>
      </c>
      <c r="C28" t="s">
        <v>10</v>
      </c>
      <c r="D28">
        <v>100.1</v>
      </c>
      <c r="E28" t="s">
        <v>11</v>
      </c>
      <c r="F28" t="s">
        <v>12</v>
      </c>
      <c r="G28" s="1">
        <v>45684</v>
      </c>
      <c r="H28" t="s">
        <v>18</v>
      </c>
    </row>
    <row r="29" spans="1:8" x14ac:dyDescent="0.25">
      <c r="A29" t="s">
        <v>57</v>
      </c>
      <c r="B29" t="s">
        <v>20</v>
      </c>
      <c r="C29" t="s">
        <v>27</v>
      </c>
      <c r="D29">
        <v>5.8</v>
      </c>
      <c r="E29" t="s">
        <v>28</v>
      </c>
      <c r="F29" t="s">
        <v>12</v>
      </c>
      <c r="G29" s="1">
        <v>45685</v>
      </c>
      <c r="H29" t="s">
        <v>24</v>
      </c>
    </row>
    <row r="30" spans="1:8" x14ac:dyDescent="0.25">
      <c r="A30" t="s">
        <v>58</v>
      </c>
      <c r="B30" t="s">
        <v>26</v>
      </c>
      <c r="C30" t="s">
        <v>21</v>
      </c>
      <c r="D30">
        <v>0.11</v>
      </c>
      <c r="E30" t="s">
        <v>22</v>
      </c>
      <c r="F30" t="s">
        <v>12</v>
      </c>
      <c r="G30" s="1">
        <v>45686</v>
      </c>
      <c r="H30" t="s">
        <v>29</v>
      </c>
    </row>
    <row r="31" spans="1:8" x14ac:dyDescent="0.25">
      <c r="A31" t="s">
        <v>59</v>
      </c>
      <c r="B31" t="s">
        <v>31</v>
      </c>
      <c r="C31" t="s">
        <v>32</v>
      </c>
      <c r="D31">
        <v>5.6</v>
      </c>
      <c r="E31" t="s">
        <v>33</v>
      </c>
      <c r="F31" t="s">
        <v>12</v>
      </c>
      <c r="G31" s="1">
        <v>45687</v>
      </c>
      <c r="H31" t="s">
        <v>34</v>
      </c>
    </row>
    <row r="32" spans="1:8" x14ac:dyDescent="0.25">
      <c r="A32" t="s">
        <v>60</v>
      </c>
      <c r="B32" t="s">
        <v>9</v>
      </c>
      <c r="C32" t="s">
        <v>10</v>
      </c>
      <c r="D32">
        <v>99.8</v>
      </c>
      <c r="E32" t="s">
        <v>11</v>
      </c>
      <c r="F32" t="s">
        <v>12</v>
      </c>
      <c r="G32" s="1">
        <v>45689</v>
      </c>
      <c r="H32" t="s">
        <v>13</v>
      </c>
    </row>
    <row r="33" spans="1:8" x14ac:dyDescent="0.25">
      <c r="A33" t="s">
        <v>61</v>
      </c>
      <c r="B33" t="s">
        <v>15</v>
      </c>
      <c r="C33" t="s">
        <v>16</v>
      </c>
      <c r="D33">
        <v>87</v>
      </c>
      <c r="E33" t="s">
        <v>17</v>
      </c>
      <c r="F33" t="s">
        <v>12</v>
      </c>
      <c r="G33" s="1">
        <v>45690</v>
      </c>
      <c r="H33" t="s">
        <v>18</v>
      </c>
    </row>
    <row r="34" spans="1:8" x14ac:dyDescent="0.25">
      <c r="A34" t="s">
        <v>62</v>
      </c>
      <c r="B34" t="s">
        <v>20</v>
      </c>
      <c r="C34" t="s">
        <v>21</v>
      </c>
      <c r="D34">
        <v>0.27</v>
      </c>
      <c r="E34" t="s">
        <v>22</v>
      </c>
      <c r="F34" t="s">
        <v>23</v>
      </c>
      <c r="G34" s="1">
        <v>45691</v>
      </c>
      <c r="H34" t="s">
        <v>24</v>
      </c>
    </row>
    <row r="35" spans="1:8" x14ac:dyDescent="0.25">
      <c r="A35" t="s">
        <v>63</v>
      </c>
      <c r="B35" t="s">
        <v>26</v>
      </c>
      <c r="C35" t="s">
        <v>27</v>
      </c>
      <c r="D35">
        <v>6.5</v>
      </c>
      <c r="E35" t="s">
        <v>28</v>
      </c>
      <c r="F35" t="s">
        <v>12</v>
      </c>
      <c r="G35" s="1">
        <v>45692</v>
      </c>
      <c r="H35" t="s">
        <v>29</v>
      </c>
    </row>
    <row r="36" spans="1:8" x14ac:dyDescent="0.25">
      <c r="A36" t="s">
        <v>64</v>
      </c>
      <c r="B36" t="s">
        <v>31</v>
      </c>
      <c r="C36" t="s">
        <v>32</v>
      </c>
      <c r="D36">
        <v>5.4</v>
      </c>
      <c r="E36" t="s">
        <v>33</v>
      </c>
      <c r="F36" t="s">
        <v>12</v>
      </c>
      <c r="G36" s="1">
        <v>45693</v>
      </c>
      <c r="H36" t="s">
        <v>34</v>
      </c>
    </row>
    <row r="37" spans="1:8" x14ac:dyDescent="0.25">
      <c r="A37" t="s">
        <v>65</v>
      </c>
      <c r="B37" t="s">
        <v>9</v>
      </c>
      <c r="C37" t="s">
        <v>16</v>
      </c>
      <c r="D37">
        <v>92</v>
      </c>
      <c r="E37" t="s">
        <v>17</v>
      </c>
      <c r="F37" t="s">
        <v>12</v>
      </c>
      <c r="G37" s="1">
        <v>45694</v>
      </c>
      <c r="H37" t="s">
        <v>13</v>
      </c>
    </row>
    <row r="38" spans="1:8" x14ac:dyDescent="0.25">
      <c r="A38" t="s">
        <v>66</v>
      </c>
      <c r="B38" t="s">
        <v>15</v>
      </c>
      <c r="C38" t="s">
        <v>10</v>
      </c>
      <c r="D38">
        <v>103.2</v>
      </c>
      <c r="E38" t="s">
        <v>11</v>
      </c>
      <c r="F38" t="s">
        <v>12</v>
      </c>
      <c r="G38" s="1">
        <v>45695</v>
      </c>
      <c r="H38" t="s">
        <v>18</v>
      </c>
    </row>
    <row r="39" spans="1:8" x14ac:dyDescent="0.25">
      <c r="A39" t="s">
        <v>67</v>
      </c>
      <c r="B39" t="s">
        <v>20</v>
      </c>
      <c r="C39" t="s">
        <v>27</v>
      </c>
      <c r="D39">
        <v>7.1</v>
      </c>
      <c r="E39" t="s">
        <v>28</v>
      </c>
      <c r="F39" t="s">
        <v>23</v>
      </c>
      <c r="G39" s="1">
        <v>45696</v>
      </c>
      <c r="H39" t="s">
        <v>24</v>
      </c>
    </row>
    <row r="40" spans="1:8" x14ac:dyDescent="0.25">
      <c r="A40" t="s">
        <v>68</v>
      </c>
      <c r="B40" t="s">
        <v>26</v>
      </c>
      <c r="C40" t="s">
        <v>21</v>
      </c>
      <c r="D40">
        <v>0.13</v>
      </c>
      <c r="E40" t="s">
        <v>22</v>
      </c>
      <c r="F40" t="s">
        <v>12</v>
      </c>
      <c r="G40" s="1">
        <v>45697</v>
      </c>
      <c r="H40" t="s">
        <v>29</v>
      </c>
    </row>
    <row r="41" spans="1:8" x14ac:dyDescent="0.25">
      <c r="A41" t="s">
        <v>69</v>
      </c>
      <c r="B41" t="s">
        <v>31</v>
      </c>
      <c r="C41" t="s">
        <v>32</v>
      </c>
      <c r="D41">
        <v>5.8</v>
      </c>
      <c r="E41" t="s">
        <v>33</v>
      </c>
      <c r="F41" t="s">
        <v>12</v>
      </c>
      <c r="G41" s="1">
        <v>45698</v>
      </c>
      <c r="H41" t="s">
        <v>34</v>
      </c>
    </row>
    <row r="42" spans="1:8" x14ac:dyDescent="0.25">
      <c r="A42" t="s">
        <v>70</v>
      </c>
      <c r="B42" t="s">
        <v>9</v>
      </c>
      <c r="C42" t="s">
        <v>10</v>
      </c>
      <c r="D42">
        <v>98.9</v>
      </c>
      <c r="E42" t="s">
        <v>11</v>
      </c>
      <c r="F42" t="s">
        <v>12</v>
      </c>
      <c r="G42" s="1">
        <v>45699</v>
      </c>
      <c r="H42" t="s">
        <v>13</v>
      </c>
    </row>
    <row r="43" spans="1:8" x14ac:dyDescent="0.25">
      <c r="A43" t="s">
        <v>71</v>
      </c>
      <c r="B43" t="s">
        <v>15</v>
      </c>
      <c r="C43" t="s">
        <v>16</v>
      </c>
      <c r="D43">
        <v>89</v>
      </c>
      <c r="E43" t="s">
        <v>17</v>
      </c>
      <c r="F43" t="s">
        <v>12</v>
      </c>
      <c r="G43" s="1">
        <v>45700</v>
      </c>
      <c r="H43" t="s">
        <v>18</v>
      </c>
    </row>
    <row r="44" spans="1:8" x14ac:dyDescent="0.25">
      <c r="A44" t="s">
        <v>72</v>
      </c>
      <c r="B44" t="s">
        <v>20</v>
      </c>
      <c r="C44" t="s">
        <v>21</v>
      </c>
      <c r="D44">
        <v>0.16</v>
      </c>
      <c r="E44" t="s">
        <v>22</v>
      </c>
      <c r="F44" t="s">
        <v>12</v>
      </c>
      <c r="G44" s="1">
        <v>45701</v>
      </c>
      <c r="H44" t="s">
        <v>24</v>
      </c>
    </row>
    <row r="45" spans="1:8" x14ac:dyDescent="0.25">
      <c r="A45" t="s">
        <v>73</v>
      </c>
      <c r="B45" t="s">
        <v>26</v>
      </c>
      <c r="C45" t="s">
        <v>27</v>
      </c>
      <c r="D45">
        <v>6.3</v>
      </c>
      <c r="E45" t="s">
        <v>28</v>
      </c>
      <c r="F45" t="s">
        <v>12</v>
      </c>
      <c r="G45" s="1">
        <v>45702</v>
      </c>
      <c r="H45" t="s">
        <v>29</v>
      </c>
    </row>
    <row r="46" spans="1:8" x14ac:dyDescent="0.25">
      <c r="A46" t="s">
        <v>74</v>
      </c>
      <c r="B46" t="s">
        <v>31</v>
      </c>
      <c r="C46" t="s">
        <v>32</v>
      </c>
      <c r="D46">
        <v>6.3</v>
      </c>
      <c r="E46" t="s">
        <v>33</v>
      </c>
      <c r="F46" t="s">
        <v>23</v>
      </c>
      <c r="G46" s="1">
        <v>45703</v>
      </c>
      <c r="H46" t="s">
        <v>34</v>
      </c>
    </row>
    <row r="47" spans="1:8" x14ac:dyDescent="0.25">
      <c r="A47" t="s">
        <v>75</v>
      </c>
      <c r="B47" t="s">
        <v>9</v>
      </c>
      <c r="C47" t="s">
        <v>16</v>
      </c>
      <c r="D47">
        <v>91</v>
      </c>
      <c r="E47" t="s">
        <v>17</v>
      </c>
      <c r="F47" t="s">
        <v>12</v>
      </c>
      <c r="G47" s="1">
        <v>45704</v>
      </c>
      <c r="H47" t="s">
        <v>13</v>
      </c>
    </row>
    <row r="48" spans="1:8" x14ac:dyDescent="0.25">
      <c r="A48" t="s">
        <v>76</v>
      </c>
      <c r="B48" t="s">
        <v>15</v>
      </c>
      <c r="C48" t="s">
        <v>10</v>
      </c>
      <c r="D48">
        <v>101.8</v>
      </c>
      <c r="E48" t="s">
        <v>11</v>
      </c>
      <c r="F48" t="s">
        <v>12</v>
      </c>
      <c r="G48" s="1">
        <v>45705</v>
      </c>
      <c r="H48" t="s">
        <v>18</v>
      </c>
    </row>
    <row r="49" spans="1:8" x14ac:dyDescent="0.25">
      <c r="A49" t="s">
        <v>77</v>
      </c>
      <c r="B49" t="s">
        <v>20</v>
      </c>
      <c r="C49" t="s">
        <v>27</v>
      </c>
      <c r="D49">
        <v>5.9</v>
      </c>
      <c r="E49" t="s">
        <v>28</v>
      </c>
      <c r="F49" t="s">
        <v>12</v>
      </c>
      <c r="G49" s="1">
        <v>45706</v>
      </c>
      <c r="H49" t="s">
        <v>24</v>
      </c>
    </row>
    <row r="50" spans="1:8" x14ac:dyDescent="0.25">
      <c r="A50" t="s">
        <v>78</v>
      </c>
      <c r="B50" t="s">
        <v>26</v>
      </c>
      <c r="C50" t="s">
        <v>21</v>
      </c>
      <c r="D50">
        <v>0.21</v>
      </c>
      <c r="E50" t="s">
        <v>22</v>
      </c>
      <c r="F50" t="s">
        <v>23</v>
      </c>
      <c r="G50" s="1">
        <v>45707</v>
      </c>
      <c r="H50" t="s">
        <v>29</v>
      </c>
    </row>
    <row r="51" spans="1:8" x14ac:dyDescent="0.25">
      <c r="A51" t="s">
        <v>79</v>
      </c>
      <c r="B51" t="s">
        <v>31</v>
      </c>
      <c r="C51" t="s">
        <v>32</v>
      </c>
      <c r="D51">
        <v>5.5</v>
      </c>
      <c r="E51" t="s">
        <v>33</v>
      </c>
      <c r="F51" t="s">
        <v>12</v>
      </c>
      <c r="G51" s="1">
        <v>45708</v>
      </c>
      <c r="H51" t="s">
        <v>34</v>
      </c>
    </row>
    <row r="52" spans="1:8" x14ac:dyDescent="0.25">
      <c r="A52" t="s">
        <v>80</v>
      </c>
      <c r="B52" t="s">
        <v>9</v>
      </c>
      <c r="C52" t="s">
        <v>10</v>
      </c>
      <c r="D52">
        <v>99.2</v>
      </c>
      <c r="E52" t="s">
        <v>11</v>
      </c>
      <c r="F52" t="s">
        <v>12</v>
      </c>
      <c r="G52" s="1">
        <v>45658</v>
      </c>
      <c r="H52" t="s">
        <v>13</v>
      </c>
    </row>
    <row r="53" spans="1:8" x14ac:dyDescent="0.25">
      <c r="A53" t="s">
        <v>81</v>
      </c>
      <c r="B53" t="s">
        <v>15</v>
      </c>
      <c r="C53" t="s">
        <v>10</v>
      </c>
      <c r="D53">
        <v>101.1</v>
      </c>
      <c r="E53" t="s">
        <v>11</v>
      </c>
      <c r="F53" t="s">
        <v>12</v>
      </c>
      <c r="G53" s="1">
        <v>45659</v>
      </c>
      <c r="H53" t="s">
        <v>18</v>
      </c>
    </row>
    <row r="54" spans="1:8" x14ac:dyDescent="0.25">
      <c r="A54" t="s">
        <v>82</v>
      </c>
      <c r="B54" t="s">
        <v>20</v>
      </c>
      <c r="C54" t="s">
        <v>10</v>
      </c>
      <c r="D54">
        <v>104.2</v>
      </c>
      <c r="E54" t="s">
        <v>11</v>
      </c>
      <c r="F54" t="s">
        <v>12</v>
      </c>
      <c r="G54" s="1">
        <v>45660</v>
      </c>
      <c r="H54" t="s">
        <v>24</v>
      </c>
    </row>
    <row r="55" spans="1:8" x14ac:dyDescent="0.25">
      <c r="A55" t="s">
        <v>83</v>
      </c>
      <c r="B55" t="s">
        <v>26</v>
      </c>
      <c r="C55" t="s">
        <v>10</v>
      </c>
      <c r="D55">
        <v>106.3</v>
      </c>
      <c r="E55" t="s">
        <v>11</v>
      </c>
      <c r="F55" t="s">
        <v>23</v>
      </c>
      <c r="G55" s="1">
        <v>45661</v>
      </c>
      <c r="H55" t="s">
        <v>29</v>
      </c>
    </row>
    <row r="56" spans="1:8" x14ac:dyDescent="0.25">
      <c r="A56" t="s">
        <v>84</v>
      </c>
      <c r="B56" t="s">
        <v>31</v>
      </c>
      <c r="C56" t="s">
        <v>10</v>
      </c>
      <c r="D56">
        <v>97.8</v>
      </c>
      <c r="E56" t="s">
        <v>11</v>
      </c>
      <c r="F56" t="s">
        <v>12</v>
      </c>
      <c r="G56" s="1">
        <v>45662</v>
      </c>
      <c r="H56" t="s">
        <v>34</v>
      </c>
    </row>
    <row r="57" spans="1:8" x14ac:dyDescent="0.25">
      <c r="A57" t="s">
        <v>85</v>
      </c>
      <c r="B57" t="s">
        <v>9</v>
      </c>
      <c r="C57" t="s">
        <v>16</v>
      </c>
      <c r="D57">
        <v>92</v>
      </c>
      <c r="E57" t="s">
        <v>17</v>
      </c>
      <c r="F57" t="s">
        <v>12</v>
      </c>
      <c r="G57" s="1">
        <v>45663</v>
      </c>
      <c r="H57" t="s">
        <v>13</v>
      </c>
    </row>
    <row r="58" spans="1:8" x14ac:dyDescent="0.25">
      <c r="A58" t="s">
        <v>86</v>
      </c>
      <c r="B58" t="s">
        <v>15</v>
      </c>
      <c r="C58" t="s">
        <v>16</v>
      </c>
      <c r="D58">
        <v>88</v>
      </c>
      <c r="E58" t="s">
        <v>17</v>
      </c>
      <c r="F58" t="s">
        <v>12</v>
      </c>
      <c r="G58" s="1">
        <v>45664</v>
      </c>
      <c r="H58" t="s">
        <v>18</v>
      </c>
    </row>
    <row r="59" spans="1:8" x14ac:dyDescent="0.25">
      <c r="A59" t="s">
        <v>87</v>
      </c>
      <c r="B59" t="s">
        <v>20</v>
      </c>
      <c r="C59" t="s">
        <v>16</v>
      </c>
      <c r="D59">
        <v>83</v>
      </c>
      <c r="E59" t="s">
        <v>17</v>
      </c>
      <c r="F59" t="s">
        <v>23</v>
      </c>
      <c r="G59" s="1">
        <v>45665</v>
      </c>
      <c r="H59" t="s">
        <v>24</v>
      </c>
    </row>
    <row r="60" spans="1:8" x14ac:dyDescent="0.25">
      <c r="A60" t="s">
        <v>88</v>
      </c>
      <c r="B60" t="s">
        <v>26</v>
      </c>
      <c r="C60" t="s">
        <v>16</v>
      </c>
      <c r="D60">
        <v>91</v>
      </c>
      <c r="E60" t="s">
        <v>17</v>
      </c>
      <c r="F60" t="s">
        <v>12</v>
      </c>
      <c r="G60" s="1">
        <v>45666</v>
      </c>
      <c r="H60" t="s">
        <v>29</v>
      </c>
    </row>
    <row r="61" spans="1:8" x14ac:dyDescent="0.25">
      <c r="A61" t="s">
        <v>89</v>
      </c>
      <c r="B61" t="s">
        <v>31</v>
      </c>
      <c r="C61" t="s">
        <v>16</v>
      </c>
      <c r="D61">
        <v>87</v>
      </c>
      <c r="E61" t="s">
        <v>17</v>
      </c>
      <c r="F61" t="s">
        <v>12</v>
      </c>
      <c r="G61" s="1">
        <v>45667</v>
      </c>
      <c r="H61" t="s">
        <v>34</v>
      </c>
    </row>
    <row r="62" spans="1:8" x14ac:dyDescent="0.25">
      <c r="A62" t="s">
        <v>90</v>
      </c>
      <c r="B62" t="s">
        <v>9</v>
      </c>
      <c r="C62" t="s">
        <v>27</v>
      </c>
      <c r="D62">
        <v>5.8</v>
      </c>
      <c r="E62" t="s">
        <v>28</v>
      </c>
      <c r="F62" t="s">
        <v>12</v>
      </c>
      <c r="G62" s="1">
        <v>45668</v>
      </c>
      <c r="H62" t="s">
        <v>13</v>
      </c>
    </row>
    <row r="63" spans="1:8" x14ac:dyDescent="0.25">
      <c r="A63" t="s">
        <v>91</v>
      </c>
      <c r="B63" t="s">
        <v>15</v>
      </c>
      <c r="C63" t="s">
        <v>27</v>
      </c>
      <c r="D63">
        <v>6.5</v>
      </c>
      <c r="E63" t="s">
        <v>28</v>
      </c>
      <c r="F63" t="s">
        <v>12</v>
      </c>
      <c r="G63" s="1">
        <v>45669</v>
      </c>
      <c r="H63" t="s">
        <v>18</v>
      </c>
    </row>
    <row r="64" spans="1:8" x14ac:dyDescent="0.25">
      <c r="A64" t="s">
        <v>92</v>
      </c>
      <c r="B64" t="s">
        <v>20</v>
      </c>
      <c r="C64" t="s">
        <v>27</v>
      </c>
      <c r="D64">
        <v>7.2</v>
      </c>
      <c r="E64" t="s">
        <v>28</v>
      </c>
      <c r="F64" t="s">
        <v>23</v>
      </c>
      <c r="G64" s="1">
        <v>45670</v>
      </c>
      <c r="H64" t="s">
        <v>24</v>
      </c>
    </row>
    <row r="65" spans="1:8" x14ac:dyDescent="0.25">
      <c r="A65" t="s">
        <v>93</v>
      </c>
      <c r="B65" t="s">
        <v>26</v>
      </c>
      <c r="C65" t="s">
        <v>27</v>
      </c>
      <c r="D65">
        <v>6.1</v>
      </c>
      <c r="E65" t="s">
        <v>28</v>
      </c>
      <c r="F65" t="s">
        <v>12</v>
      </c>
      <c r="G65" s="1">
        <v>45671</v>
      </c>
      <c r="H65" t="s">
        <v>29</v>
      </c>
    </row>
    <row r="66" spans="1:8" x14ac:dyDescent="0.25">
      <c r="A66" t="s">
        <v>94</v>
      </c>
      <c r="B66" t="s">
        <v>31</v>
      </c>
      <c r="C66" t="s">
        <v>27</v>
      </c>
      <c r="D66">
        <v>5.6</v>
      </c>
      <c r="E66" t="s">
        <v>28</v>
      </c>
      <c r="F66" t="s">
        <v>12</v>
      </c>
      <c r="G66" s="1">
        <v>45672</v>
      </c>
      <c r="H66" t="s">
        <v>34</v>
      </c>
    </row>
    <row r="67" spans="1:8" x14ac:dyDescent="0.25">
      <c r="A67" t="s">
        <v>95</v>
      </c>
      <c r="B67" t="s">
        <v>9</v>
      </c>
      <c r="C67" t="s">
        <v>21</v>
      </c>
      <c r="D67">
        <v>0.12</v>
      </c>
      <c r="E67" t="s">
        <v>22</v>
      </c>
      <c r="F67" t="s">
        <v>12</v>
      </c>
      <c r="G67" s="1">
        <v>45673</v>
      </c>
      <c r="H67" t="s">
        <v>13</v>
      </c>
    </row>
    <row r="68" spans="1:8" x14ac:dyDescent="0.25">
      <c r="A68" t="s">
        <v>96</v>
      </c>
      <c r="B68" t="s">
        <v>15</v>
      </c>
      <c r="C68" t="s">
        <v>21</v>
      </c>
      <c r="D68">
        <v>0.18</v>
      </c>
      <c r="E68" t="s">
        <v>22</v>
      </c>
      <c r="F68" t="s">
        <v>12</v>
      </c>
      <c r="G68" s="1">
        <v>45674</v>
      </c>
      <c r="H68" t="s">
        <v>18</v>
      </c>
    </row>
    <row r="69" spans="1:8" x14ac:dyDescent="0.25">
      <c r="A69" t="s">
        <v>97</v>
      </c>
      <c r="B69" t="s">
        <v>20</v>
      </c>
      <c r="C69" t="s">
        <v>21</v>
      </c>
      <c r="D69">
        <v>0.25</v>
      </c>
      <c r="E69" t="s">
        <v>22</v>
      </c>
      <c r="F69" t="s">
        <v>23</v>
      </c>
      <c r="G69" s="1">
        <v>45675</v>
      </c>
      <c r="H69" t="s">
        <v>24</v>
      </c>
    </row>
    <row r="70" spans="1:8" x14ac:dyDescent="0.25">
      <c r="A70" t="s">
        <v>98</v>
      </c>
      <c r="B70" t="s">
        <v>26</v>
      </c>
      <c r="C70" t="s">
        <v>21</v>
      </c>
      <c r="D70">
        <v>0.09</v>
      </c>
      <c r="E70" t="s">
        <v>22</v>
      </c>
      <c r="F70" t="s">
        <v>12</v>
      </c>
      <c r="G70" s="1">
        <v>45676</v>
      </c>
      <c r="H70" t="s">
        <v>29</v>
      </c>
    </row>
    <row r="71" spans="1:8" x14ac:dyDescent="0.25">
      <c r="A71" t="s">
        <v>99</v>
      </c>
      <c r="B71" t="s">
        <v>31</v>
      </c>
      <c r="C71" t="s">
        <v>21</v>
      </c>
      <c r="D71">
        <v>0.15</v>
      </c>
      <c r="E71" t="s">
        <v>22</v>
      </c>
      <c r="F71" t="s">
        <v>12</v>
      </c>
      <c r="G71" s="1">
        <v>45677</v>
      </c>
      <c r="H71" t="s">
        <v>34</v>
      </c>
    </row>
    <row r="72" spans="1:8" x14ac:dyDescent="0.25">
      <c r="A72" t="s">
        <v>100</v>
      </c>
      <c r="B72" t="s">
        <v>9</v>
      </c>
      <c r="C72" t="s">
        <v>32</v>
      </c>
      <c r="D72">
        <v>4.8</v>
      </c>
      <c r="E72" t="s">
        <v>33</v>
      </c>
      <c r="F72" t="s">
        <v>12</v>
      </c>
      <c r="G72" s="1">
        <v>45678</v>
      </c>
      <c r="H72" t="s">
        <v>13</v>
      </c>
    </row>
    <row r="73" spans="1:8" x14ac:dyDescent="0.25">
      <c r="A73" t="s">
        <v>101</v>
      </c>
      <c r="B73" t="s">
        <v>15</v>
      </c>
      <c r="C73" t="s">
        <v>32</v>
      </c>
      <c r="D73">
        <v>5.2</v>
      </c>
      <c r="E73" t="s">
        <v>33</v>
      </c>
      <c r="F73" t="s">
        <v>12</v>
      </c>
      <c r="G73" s="1">
        <v>45679</v>
      </c>
      <c r="H73" t="s">
        <v>18</v>
      </c>
    </row>
    <row r="74" spans="1:8" x14ac:dyDescent="0.25">
      <c r="A74" t="s">
        <v>102</v>
      </c>
      <c r="B74" t="s">
        <v>20</v>
      </c>
      <c r="C74" t="s">
        <v>32</v>
      </c>
      <c r="D74">
        <v>6.5</v>
      </c>
      <c r="E74" t="s">
        <v>33</v>
      </c>
      <c r="F74" t="s">
        <v>23</v>
      </c>
      <c r="G74" s="1">
        <v>45680</v>
      </c>
      <c r="H74" t="s">
        <v>24</v>
      </c>
    </row>
    <row r="75" spans="1:8" x14ac:dyDescent="0.25">
      <c r="A75" t="s">
        <v>103</v>
      </c>
      <c r="B75" t="s">
        <v>26</v>
      </c>
      <c r="C75" t="s">
        <v>32</v>
      </c>
      <c r="D75">
        <v>4.2</v>
      </c>
      <c r="E75" t="s">
        <v>33</v>
      </c>
      <c r="F75" t="s">
        <v>12</v>
      </c>
      <c r="G75" s="1">
        <v>45681</v>
      </c>
      <c r="H75" t="s">
        <v>29</v>
      </c>
    </row>
    <row r="76" spans="1:8" x14ac:dyDescent="0.25">
      <c r="A76" t="s">
        <v>104</v>
      </c>
      <c r="B76" t="s">
        <v>31</v>
      </c>
      <c r="C76" t="s">
        <v>32</v>
      </c>
      <c r="D76">
        <v>5.0999999999999996</v>
      </c>
      <c r="E76" t="s">
        <v>33</v>
      </c>
      <c r="F76" t="s">
        <v>12</v>
      </c>
      <c r="G76" s="1">
        <v>45682</v>
      </c>
      <c r="H76" t="s">
        <v>34</v>
      </c>
    </row>
    <row r="77" spans="1:8" x14ac:dyDescent="0.25">
      <c r="A77" t="s">
        <v>105</v>
      </c>
      <c r="B77" t="s">
        <v>9</v>
      </c>
      <c r="C77" t="s">
        <v>10</v>
      </c>
      <c r="D77">
        <v>98.6</v>
      </c>
      <c r="E77" t="s">
        <v>11</v>
      </c>
      <c r="F77" t="s">
        <v>12</v>
      </c>
      <c r="G77" s="1">
        <v>45683</v>
      </c>
      <c r="H77" t="s">
        <v>13</v>
      </c>
    </row>
    <row r="78" spans="1:8" x14ac:dyDescent="0.25">
      <c r="A78" t="s">
        <v>106</v>
      </c>
      <c r="B78" t="s">
        <v>15</v>
      </c>
      <c r="C78" t="s">
        <v>10</v>
      </c>
      <c r="D78">
        <v>102.4</v>
      </c>
      <c r="E78" t="s">
        <v>11</v>
      </c>
      <c r="F78" t="s">
        <v>12</v>
      </c>
      <c r="G78" s="1">
        <v>45684</v>
      </c>
      <c r="H78" t="s">
        <v>18</v>
      </c>
    </row>
    <row r="79" spans="1:8" x14ac:dyDescent="0.25">
      <c r="A79" t="s">
        <v>107</v>
      </c>
      <c r="B79" t="s">
        <v>20</v>
      </c>
      <c r="C79" t="s">
        <v>10</v>
      </c>
      <c r="D79">
        <v>94.3</v>
      </c>
      <c r="E79" t="s">
        <v>11</v>
      </c>
      <c r="F79" t="s">
        <v>23</v>
      </c>
      <c r="G79" s="1">
        <v>45685</v>
      </c>
      <c r="H79" t="s">
        <v>24</v>
      </c>
    </row>
    <row r="80" spans="1:8" x14ac:dyDescent="0.25">
      <c r="A80" t="s">
        <v>108</v>
      </c>
      <c r="B80" t="s">
        <v>26</v>
      </c>
      <c r="C80" t="s">
        <v>10</v>
      </c>
      <c r="D80">
        <v>100.2</v>
      </c>
      <c r="E80" t="s">
        <v>11</v>
      </c>
      <c r="F80" t="s">
        <v>12</v>
      </c>
      <c r="G80" s="1">
        <v>45686</v>
      </c>
      <c r="H80" t="s">
        <v>29</v>
      </c>
    </row>
    <row r="81" spans="1:8" x14ac:dyDescent="0.25">
      <c r="A81" t="s">
        <v>109</v>
      </c>
      <c r="B81" t="s">
        <v>31</v>
      </c>
      <c r="C81" t="s">
        <v>10</v>
      </c>
      <c r="D81">
        <v>103.1</v>
      </c>
      <c r="E81" t="s">
        <v>11</v>
      </c>
      <c r="F81" t="s">
        <v>12</v>
      </c>
      <c r="G81" s="1">
        <v>45687</v>
      </c>
      <c r="H81" t="s">
        <v>34</v>
      </c>
    </row>
    <row r="82" spans="1:8" x14ac:dyDescent="0.25">
      <c r="A82" t="s">
        <v>110</v>
      </c>
      <c r="B82" t="s">
        <v>9</v>
      </c>
      <c r="C82" t="s">
        <v>10</v>
      </c>
      <c r="D82">
        <v>99.1</v>
      </c>
      <c r="E82" t="s">
        <v>11</v>
      </c>
      <c r="F82" t="s">
        <v>12</v>
      </c>
      <c r="G82" s="1">
        <v>45709</v>
      </c>
      <c r="H82" t="s">
        <v>13</v>
      </c>
    </row>
    <row r="83" spans="1:8" x14ac:dyDescent="0.25">
      <c r="A83" t="s">
        <v>111</v>
      </c>
      <c r="B83" t="s">
        <v>15</v>
      </c>
      <c r="C83" t="s">
        <v>16</v>
      </c>
      <c r="D83">
        <v>91</v>
      </c>
      <c r="E83" t="s">
        <v>17</v>
      </c>
      <c r="F83" t="s">
        <v>12</v>
      </c>
      <c r="G83" s="1">
        <v>45710</v>
      </c>
      <c r="H83" t="s">
        <v>18</v>
      </c>
    </row>
    <row r="84" spans="1:8" x14ac:dyDescent="0.25">
      <c r="A84" t="s">
        <v>112</v>
      </c>
      <c r="B84" t="s">
        <v>20</v>
      </c>
      <c r="C84" t="s">
        <v>21</v>
      </c>
      <c r="D84">
        <v>0.23</v>
      </c>
      <c r="E84" t="s">
        <v>22</v>
      </c>
      <c r="F84" t="s">
        <v>23</v>
      </c>
      <c r="G84" s="1">
        <v>45711</v>
      </c>
      <c r="H84" t="s">
        <v>24</v>
      </c>
    </row>
    <row r="85" spans="1:8" x14ac:dyDescent="0.25">
      <c r="A85" t="s">
        <v>113</v>
      </c>
      <c r="B85" t="s">
        <v>26</v>
      </c>
      <c r="C85" t="s">
        <v>27</v>
      </c>
      <c r="D85">
        <v>6.1</v>
      </c>
      <c r="E85" t="s">
        <v>28</v>
      </c>
      <c r="F85" t="s">
        <v>12</v>
      </c>
      <c r="G85" s="1">
        <v>45712</v>
      </c>
      <c r="H85" t="s">
        <v>29</v>
      </c>
    </row>
    <row r="86" spans="1:8" x14ac:dyDescent="0.25">
      <c r="A86" t="s">
        <v>114</v>
      </c>
      <c r="B86" t="s">
        <v>31</v>
      </c>
      <c r="C86" t="s">
        <v>32</v>
      </c>
      <c r="D86">
        <v>5.4</v>
      </c>
      <c r="E86" t="s">
        <v>33</v>
      </c>
      <c r="F86" t="s">
        <v>12</v>
      </c>
      <c r="G86" s="1">
        <v>45713</v>
      </c>
      <c r="H86" t="s">
        <v>34</v>
      </c>
    </row>
    <row r="87" spans="1:8" x14ac:dyDescent="0.25">
      <c r="A87" t="s">
        <v>115</v>
      </c>
      <c r="B87" t="s">
        <v>9</v>
      </c>
      <c r="C87" t="s">
        <v>16</v>
      </c>
      <c r="D87">
        <v>92</v>
      </c>
      <c r="E87" t="s">
        <v>17</v>
      </c>
      <c r="F87" t="s">
        <v>12</v>
      </c>
      <c r="G87" s="1">
        <v>45714</v>
      </c>
      <c r="H87" t="s">
        <v>13</v>
      </c>
    </row>
    <row r="88" spans="1:8" x14ac:dyDescent="0.25">
      <c r="A88" t="s">
        <v>116</v>
      </c>
      <c r="B88" t="s">
        <v>15</v>
      </c>
      <c r="C88" t="s">
        <v>10</v>
      </c>
      <c r="D88">
        <v>101.3</v>
      </c>
      <c r="E88" t="s">
        <v>11</v>
      </c>
      <c r="F88" t="s">
        <v>12</v>
      </c>
      <c r="G88" s="1">
        <v>45715</v>
      </c>
      <c r="H88" t="s">
        <v>18</v>
      </c>
    </row>
    <row r="89" spans="1:8" x14ac:dyDescent="0.25">
      <c r="A89" t="s">
        <v>117</v>
      </c>
      <c r="B89" t="s">
        <v>20</v>
      </c>
      <c r="C89" t="s">
        <v>27</v>
      </c>
      <c r="D89">
        <v>7.1</v>
      </c>
      <c r="E89" t="s">
        <v>28</v>
      </c>
      <c r="F89" t="s">
        <v>23</v>
      </c>
      <c r="G89" s="1">
        <v>45716</v>
      </c>
      <c r="H89" t="s">
        <v>24</v>
      </c>
    </row>
    <row r="90" spans="1:8" x14ac:dyDescent="0.25">
      <c r="A90" t="s">
        <v>118</v>
      </c>
      <c r="B90" t="s">
        <v>26</v>
      </c>
      <c r="C90" t="s">
        <v>21</v>
      </c>
      <c r="D90">
        <v>0.14000000000000001</v>
      </c>
      <c r="E90" t="s">
        <v>22</v>
      </c>
      <c r="F90" t="s">
        <v>12</v>
      </c>
      <c r="G90" s="1">
        <v>45717</v>
      </c>
      <c r="H90" t="s">
        <v>29</v>
      </c>
    </row>
    <row r="91" spans="1:8" x14ac:dyDescent="0.25">
      <c r="A91" t="s">
        <v>119</v>
      </c>
      <c r="B91" t="s">
        <v>31</v>
      </c>
      <c r="C91" t="s">
        <v>32</v>
      </c>
      <c r="D91">
        <v>5.7</v>
      </c>
      <c r="E91" t="s">
        <v>33</v>
      </c>
      <c r="F91" t="s">
        <v>12</v>
      </c>
      <c r="G91" s="1">
        <v>45718</v>
      </c>
      <c r="H91" t="s">
        <v>34</v>
      </c>
    </row>
    <row r="92" spans="1:8" x14ac:dyDescent="0.25">
      <c r="A92" t="s">
        <v>120</v>
      </c>
      <c r="B92" t="s">
        <v>20</v>
      </c>
      <c r="C92" t="s">
        <v>10</v>
      </c>
      <c r="D92">
        <v>98.7</v>
      </c>
      <c r="E92" t="s">
        <v>11</v>
      </c>
      <c r="F92" t="s">
        <v>12</v>
      </c>
      <c r="G92" s="1">
        <v>45719</v>
      </c>
      <c r="H92" t="s">
        <v>13</v>
      </c>
    </row>
    <row r="93" spans="1:8" x14ac:dyDescent="0.25">
      <c r="A93" t="s">
        <v>121</v>
      </c>
      <c r="B93" t="s">
        <v>15</v>
      </c>
      <c r="C93" t="s">
        <v>16</v>
      </c>
      <c r="D93">
        <v>89</v>
      </c>
      <c r="E93" t="s">
        <v>17</v>
      </c>
      <c r="F93" t="s">
        <v>12</v>
      </c>
      <c r="G93" s="1">
        <v>45720</v>
      </c>
      <c r="H93" t="s">
        <v>18</v>
      </c>
    </row>
    <row r="94" spans="1:8" x14ac:dyDescent="0.25">
      <c r="A94" t="s">
        <v>122</v>
      </c>
      <c r="B94" t="s">
        <v>20</v>
      </c>
      <c r="C94" t="s">
        <v>21</v>
      </c>
      <c r="D94">
        <v>0.19</v>
      </c>
      <c r="E94" t="s">
        <v>22</v>
      </c>
      <c r="F94" t="s">
        <v>12</v>
      </c>
      <c r="G94" s="1">
        <v>45721</v>
      </c>
      <c r="H94" t="s">
        <v>24</v>
      </c>
    </row>
    <row r="95" spans="1:8" x14ac:dyDescent="0.25">
      <c r="A95" t="s">
        <v>123</v>
      </c>
      <c r="B95" t="s">
        <v>26</v>
      </c>
      <c r="C95" t="s">
        <v>27</v>
      </c>
      <c r="D95">
        <v>6.6</v>
      </c>
      <c r="E95" t="s">
        <v>28</v>
      </c>
      <c r="F95" t="s">
        <v>12</v>
      </c>
      <c r="G95" s="1">
        <v>45722</v>
      </c>
      <c r="H95" t="s">
        <v>29</v>
      </c>
    </row>
    <row r="96" spans="1:8" x14ac:dyDescent="0.25">
      <c r="A96" t="s">
        <v>124</v>
      </c>
      <c r="B96" t="s">
        <v>26</v>
      </c>
      <c r="C96" t="s">
        <v>32</v>
      </c>
      <c r="D96">
        <v>6.2</v>
      </c>
      <c r="E96" t="s">
        <v>33</v>
      </c>
      <c r="F96" t="s">
        <v>23</v>
      </c>
      <c r="G96" s="1">
        <v>45723</v>
      </c>
      <c r="H96" t="s">
        <v>34</v>
      </c>
    </row>
    <row r="97" spans="1:8" x14ac:dyDescent="0.25">
      <c r="A97" t="s">
        <v>125</v>
      </c>
      <c r="B97" t="s">
        <v>9</v>
      </c>
      <c r="C97" t="s">
        <v>16</v>
      </c>
      <c r="D97">
        <v>93</v>
      </c>
      <c r="E97" t="s">
        <v>17</v>
      </c>
      <c r="F97" t="s">
        <v>12</v>
      </c>
      <c r="G97" s="1">
        <v>45724</v>
      </c>
      <c r="H97" t="s">
        <v>13</v>
      </c>
    </row>
    <row r="98" spans="1:8" x14ac:dyDescent="0.25">
      <c r="A98" t="s">
        <v>126</v>
      </c>
      <c r="B98" t="s">
        <v>15</v>
      </c>
      <c r="C98" t="s">
        <v>10</v>
      </c>
      <c r="D98">
        <v>100.8</v>
      </c>
      <c r="E98" t="s">
        <v>11</v>
      </c>
      <c r="F98" t="s">
        <v>12</v>
      </c>
      <c r="G98" s="1">
        <v>45725</v>
      </c>
      <c r="H98" t="s">
        <v>18</v>
      </c>
    </row>
    <row r="99" spans="1:8" x14ac:dyDescent="0.25">
      <c r="A99" t="s">
        <v>127</v>
      </c>
      <c r="B99" t="s">
        <v>20</v>
      </c>
      <c r="C99" t="s">
        <v>27</v>
      </c>
      <c r="D99">
        <v>5.7</v>
      </c>
      <c r="E99" t="s">
        <v>28</v>
      </c>
      <c r="F99" t="s">
        <v>12</v>
      </c>
      <c r="G99" s="1">
        <v>45726</v>
      </c>
      <c r="H99" t="s">
        <v>24</v>
      </c>
    </row>
    <row r="100" spans="1:8" x14ac:dyDescent="0.25">
      <c r="A100" t="s">
        <v>128</v>
      </c>
      <c r="B100" t="s">
        <v>26</v>
      </c>
      <c r="C100" t="s">
        <v>21</v>
      </c>
      <c r="D100">
        <v>0.21</v>
      </c>
      <c r="E100" t="s">
        <v>22</v>
      </c>
      <c r="F100" t="s">
        <v>23</v>
      </c>
      <c r="G100" s="1">
        <v>45727</v>
      </c>
      <c r="H100" t="s">
        <v>29</v>
      </c>
    </row>
    <row r="101" spans="1:8" x14ac:dyDescent="0.25">
      <c r="A101" t="s">
        <v>129</v>
      </c>
      <c r="B101" t="s">
        <v>31</v>
      </c>
      <c r="C101" t="s">
        <v>32</v>
      </c>
      <c r="D101">
        <v>5.6</v>
      </c>
      <c r="E101" t="s">
        <v>33</v>
      </c>
      <c r="F101" t="s">
        <v>12</v>
      </c>
      <c r="G101" s="1">
        <v>45728</v>
      </c>
      <c r="H101" t="s">
        <v>34</v>
      </c>
    </row>
    <row r="102" spans="1:8" x14ac:dyDescent="0.25">
      <c r="A102" t="s">
        <v>130</v>
      </c>
      <c r="B102" t="s">
        <v>9</v>
      </c>
      <c r="C102" t="s">
        <v>10</v>
      </c>
      <c r="D102">
        <v>99.5</v>
      </c>
      <c r="E102" t="s">
        <v>11</v>
      </c>
      <c r="F102" t="s">
        <v>12</v>
      </c>
      <c r="G102" s="1">
        <v>45729</v>
      </c>
      <c r="H102" t="s">
        <v>13</v>
      </c>
    </row>
    <row r="103" spans="1:8" x14ac:dyDescent="0.25">
      <c r="A103" t="s">
        <v>131</v>
      </c>
      <c r="B103" t="s">
        <v>15</v>
      </c>
      <c r="C103" t="s">
        <v>16</v>
      </c>
      <c r="D103">
        <v>90</v>
      </c>
      <c r="E103" t="s">
        <v>17</v>
      </c>
      <c r="F103" t="s">
        <v>12</v>
      </c>
      <c r="G103" s="1">
        <v>45730</v>
      </c>
      <c r="H103" t="s">
        <v>18</v>
      </c>
    </row>
    <row r="104" spans="1:8" x14ac:dyDescent="0.25">
      <c r="A104" t="s">
        <v>132</v>
      </c>
      <c r="B104" t="s">
        <v>20</v>
      </c>
      <c r="C104" t="s">
        <v>21</v>
      </c>
      <c r="D104">
        <v>0.16</v>
      </c>
      <c r="E104" t="s">
        <v>22</v>
      </c>
      <c r="F104" t="s">
        <v>12</v>
      </c>
      <c r="G104" s="1">
        <v>45731</v>
      </c>
      <c r="H104" t="s">
        <v>24</v>
      </c>
    </row>
    <row r="105" spans="1:8" x14ac:dyDescent="0.25">
      <c r="A105" t="s">
        <v>133</v>
      </c>
      <c r="B105" t="s">
        <v>26</v>
      </c>
      <c r="C105" t="s">
        <v>27</v>
      </c>
      <c r="D105">
        <v>6.2</v>
      </c>
      <c r="E105" t="s">
        <v>28</v>
      </c>
      <c r="F105" t="s">
        <v>12</v>
      </c>
      <c r="G105" s="1">
        <v>45732</v>
      </c>
      <c r="H105" t="s">
        <v>29</v>
      </c>
    </row>
    <row r="106" spans="1:8" x14ac:dyDescent="0.25">
      <c r="A106" t="s">
        <v>134</v>
      </c>
      <c r="B106" t="s">
        <v>31</v>
      </c>
      <c r="C106" t="s">
        <v>32</v>
      </c>
      <c r="D106">
        <v>5.8</v>
      </c>
      <c r="E106" t="s">
        <v>33</v>
      </c>
      <c r="F106" t="s">
        <v>12</v>
      </c>
      <c r="G106" s="1">
        <v>45733</v>
      </c>
      <c r="H106" t="s">
        <v>34</v>
      </c>
    </row>
    <row r="107" spans="1:8" x14ac:dyDescent="0.25">
      <c r="A107" t="s">
        <v>135</v>
      </c>
      <c r="B107" t="s">
        <v>9</v>
      </c>
      <c r="C107" t="s">
        <v>16</v>
      </c>
      <c r="D107">
        <v>94</v>
      </c>
      <c r="E107" t="s">
        <v>17</v>
      </c>
      <c r="F107" t="s">
        <v>12</v>
      </c>
      <c r="G107" s="1">
        <v>45734</v>
      </c>
      <c r="H107" t="s">
        <v>13</v>
      </c>
    </row>
    <row r="108" spans="1:8" x14ac:dyDescent="0.25">
      <c r="A108" t="s">
        <v>136</v>
      </c>
      <c r="B108" t="s">
        <v>15</v>
      </c>
      <c r="C108" t="s">
        <v>10</v>
      </c>
      <c r="D108">
        <v>102.1</v>
      </c>
      <c r="E108" t="s">
        <v>11</v>
      </c>
      <c r="F108" t="s">
        <v>12</v>
      </c>
      <c r="G108" s="1">
        <v>45735</v>
      </c>
      <c r="H108" t="s">
        <v>18</v>
      </c>
    </row>
    <row r="109" spans="1:8" x14ac:dyDescent="0.25">
      <c r="A109" t="s">
        <v>137</v>
      </c>
      <c r="B109" t="s">
        <v>26</v>
      </c>
      <c r="C109" t="s">
        <v>27</v>
      </c>
      <c r="D109">
        <v>6.9</v>
      </c>
      <c r="E109" t="s">
        <v>28</v>
      </c>
      <c r="F109" t="s">
        <v>12</v>
      </c>
      <c r="G109" s="1">
        <v>45736</v>
      </c>
      <c r="H109" t="s">
        <v>24</v>
      </c>
    </row>
    <row r="110" spans="1:8" x14ac:dyDescent="0.25">
      <c r="A110" t="s">
        <v>138</v>
      </c>
      <c r="B110" t="s">
        <v>26</v>
      </c>
      <c r="C110" t="s">
        <v>21</v>
      </c>
      <c r="D110">
        <v>0.12</v>
      </c>
      <c r="E110" t="s">
        <v>22</v>
      </c>
      <c r="F110" t="s">
        <v>12</v>
      </c>
      <c r="G110" s="1">
        <v>45737</v>
      </c>
      <c r="H110" t="s">
        <v>29</v>
      </c>
    </row>
    <row r="111" spans="1:8" x14ac:dyDescent="0.25">
      <c r="A111" t="s">
        <v>139</v>
      </c>
      <c r="B111" t="s">
        <v>31</v>
      </c>
      <c r="C111" t="s">
        <v>32</v>
      </c>
      <c r="D111">
        <v>6.4</v>
      </c>
      <c r="E111" t="s">
        <v>33</v>
      </c>
      <c r="F111" t="s">
        <v>23</v>
      </c>
      <c r="G111" s="1">
        <v>45738</v>
      </c>
      <c r="H111" t="s">
        <v>18</v>
      </c>
    </row>
    <row r="112" spans="1:8" x14ac:dyDescent="0.25">
      <c r="A112" t="s">
        <v>140</v>
      </c>
      <c r="B112" t="s">
        <v>9</v>
      </c>
      <c r="C112" t="s">
        <v>10</v>
      </c>
      <c r="D112">
        <v>98.9</v>
      </c>
      <c r="E112" t="s">
        <v>11</v>
      </c>
      <c r="F112" t="s">
        <v>12</v>
      </c>
      <c r="G112" s="1">
        <v>45739</v>
      </c>
      <c r="H112" t="s">
        <v>13</v>
      </c>
    </row>
    <row r="113" spans="1:8" x14ac:dyDescent="0.25">
      <c r="A113" t="s">
        <v>141</v>
      </c>
      <c r="B113" t="s">
        <v>15</v>
      </c>
      <c r="C113" t="s">
        <v>16</v>
      </c>
      <c r="D113">
        <v>88</v>
      </c>
      <c r="E113" t="s">
        <v>17</v>
      </c>
      <c r="F113" t="s">
        <v>12</v>
      </c>
      <c r="G113" s="1">
        <v>45740</v>
      </c>
      <c r="H113" t="s">
        <v>18</v>
      </c>
    </row>
    <row r="114" spans="1:8" x14ac:dyDescent="0.25">
      <c r="A114" t="s">
        <v>142</v>
      </c>
      <c r="B114" t="s">
        <v>20</v>
      </c>
      <c r="C114" t="s">
        <v>21</v>
      </c>
      <c r="D114">
        <v>0.24</v>
      </c>
      <c r="E114" t="s">
        <v>22</v>
      </c>
      <c r="F114" t="s">
        <v>23</v>
      </c>
      <c r="G114" s="1">
        <v>45741</v>
      </c>
      <c r="H114" t="s">
        <v>24</v>
      </c>
    </row>
    <row r="115" spans="1:8" x14ac:dyDescent="0.25">
      <c r="A115" t="s">
        <v>143</v>
      </c>
      <c r="B115" t="s">
        <v>26</v>
      </c>
      <c r="C115" t="s">
        <v>27</v>
      </c>
      <c r="D115">
        <v>6.4</v>
      </c>
      <c r="E115" t="s">
        <v>28</v>
      </c>
      <c r="F115" t="s">
        <v>12</v>
      </c>
      <c r="G115" s="1">
        <v>45742</v>
      </c>
      <c r="H115" t="s">
        <v>29</v>
      </c>
    </row>
    <row r="116" spans="1:8" x14ac:dyDescent="0.25">
      <c r="A116" t="s">
        <v>144</v>
      </c>
      <c r="B116" t="s">
        <v>31</v>
      </c>
      <c r="C116" t="s">
        <v>32</v>
      </c>
      <c r="D116">
        <v>5.5</v>
      </c>
      <c r="E116" t="s">
        <v>33</v>
      </c>
      <c r="F116" t="s">
        <v>12</v>
      </c>
      <c r="G116" s="1">
        <v>45743</v>
      </c>
      <c r="H116" t="s">
        <v>34</v>
      </c>
    </row>
    <row r="117" spans="1:8" x14ac:dyDescent="0.25">
      <c r="A117" t="s">
        <v>145</v>
      </c>
      <c r="B117" t="s">
        <v>9</v>
      </c>
      <c r="C117" t="s">
        <v>16</v>
      </c>
      <c r="D117">
        <v>92</v>
      </c>
      <c r="E117" t="s">
        <v>17</v>
      </c>
      <c r="F117" t="s">
        <v>12</v>
      </c>
      <c r="G117" s="1">
        <v>45744</v>
      </c>
      <c r="H117" t="s">
        <v>13</v>
      </c>
    </row>
    <row r="118" spans="1:8" x14ac:dyDescent="0.25">
      <c r="A118" t="s">
        <v>146</v>
      </c>
      <c r="B118" t="s">
        <v>15</v>
      </c>
      <c r="C118" t="s">
        <v>10</v>
      </c>
      <c r="D118">
        <v>101.9</v>
      </c>
      <c r="E118" t="s">
        <v>11</v>
      </c>
      <c r="F118" t="s">
        <v>12</v>
      </c>
      <c r="G118" s="1">
        <v>45745</v>
      </c>
      <c r="H118" t="s">
        <v>18</v>
      </c>
    </row>
    <row r="119" spans="1:8" x14ac:dyDescent="0.25">
      <c r="A119" t="s">
        <v>147</v>
      </c>
      <c r="B119" t="s">
        <v>20</v>
      </c>
      <c r="C119" t="s">
        <v>27</v>
      </c>
      <c r="D119">
        <v>5.6</v>
      </c>
      <c r="E119" t="s">
        <v>28</v>
      </c>
      <c r="F119" t="s">
        <v>12</v>
      </c>
      <c r="G119" s="1">
        <v>45746</v>
      </c>
      <c r="H119" t="s">
        <v>24</v>
      </c>
    </row>
    <row r="120" spans="1:8" x14ac:dyDescent="0.25">
      <c r="A120" t="s">
        <v>148</v>
      </c>
      <c r="B120" t="s">
        <v>26</v>
      </c>
      <c r="C120" t="s">
        <v>21</v>
      </c>
      <c r="D120">
        <v>0.13</v>
      </c>
      <c r="E120" t="s">
        <v>22</v>
      </c>
      <c r="F120" t="s">
        <v>12</v>
      </c>
      <c r="G120" s="1">
        <v>45747</v>
      </c>
      <c r="H120" t="s">
        <v>29</v>
      </c>
    </row>
    <row r="121" spans="1:8" x14ac:dyDescent="0.25">
      <c r="A121" t="s">
        <v>149</v>
      </c>
      <c r="B121" t="s">
        <v>26</v>
      </c>
      <c r="C121" t="s">
        <v>32</v>
      </c>
      <c r="D121">
        <v>4.9000000000000004</v>
      </c>
      <c r="E121" t="s">
        <v>33</v>
      </c>
      <c r="F121" t="s">
        <v>12</v>
      </c>
      <c r="G121" s="1">
        <v>45748</v>
      </c>
      <c r="H121" t="s">
        <v>34</v>
      </c>
    </row>
    <row r="122" spans="1:8" x14ac:dyDescent="0.25">
      <c r="A122" t="s">
        <v>150</v>
      </c>
      <c r="B122" t="s">
        <v>9</v>
      </c>
      <c r="C122" t="s">
        <v>10</v>
      </c>
      <c r="D122">
        <v>99.7</v>
      </c>
      <c r="E122" t="s">
        <v>11</v>
      </c>
      <c r="F122" t="s">
        <v>12</v>
      </c>
      <c r="G122" s="1">
        <v>45749</v>
      </c>
      <c r="H122" t="s">
        <v>13</v>
      </c>
    </row>
    <row r="123" spans="1:8" x14ac:dyDescent="0.25">
      <c r="A123" t="s">
        <v>151</v>
      </c>
      <c r="B123" t="s">
        <v>15</v>
      </c>
      <c r="C123" t="s">
        <v>16</v>
      </c>
      <c r="D123">
        <v>90</v>
      </c>
      <c r="E123" t="s">
        <v>17</v>
      </c>
      <c r="F123" t="s">
        <v>12</v>
      </c>
      <c r="G123" s="1">
        <v>45750</v>
      </c>
      <c r="H123" t="s">
        <v>18</v>
      </c>
    </row>
    <row r="124" spans="1:8" x14ac:dyDescent="0.25">
      <c r="A124" t="s">
        <v>152</v>
      </c>
      <c r="B124" t="s">
        <v>20</v>
      </c>
      <c r="C124" t="s">
        <v>21</v>
      </c>
      <c r="D124">
        <v>0.17</v>
      </c>
      <c r="E124" t="s">
        <v>22</v>
      </c>
      <c r="F124" t="s">
        <v>12</v>
      </c>
      <c r="G124" s="1">
        <v>45751</v>
      </c>
      <c r="H124" t="s">
        <v>24</v>
      </c>
    </row>
    <row r="125" spans="1:8" x14ac:dyDescent="0.25">
      <c r="A125" t="s">
        <v>153</v>
      </c>
      <c r="B125" t="s">
        <v>26</v>
      </c>
      <c r="C125" t="s">
        <v>27</v>
      </c>
      <c r="D125">
        <v>6.7</v>
      </c>
      <c r="E125" t="s">
        <v>28</v>
      </c>
      <c r="F125" t="s">
        <v>12</v>
      </c>
      <c r="G125" s="1">
        <v>45752</v>
      </c>
      <c r="H125" t="s">
        <v>29</v>
      </c>
    </row>
    <row r="126" spans="1:8" x14ac:dyDescent="0.25">
      <c r="A126" t="s">
        <v>154</v>
      </c>
      <c r="B126" t="s">
        <v>31</v>
      </c>
      <c r="C126" t="s">
        <v>32</v>
      </c>
      <c r="D126">
        <v>6.2</v>
      </c>
      <c r="E126" t="s">
        <v>33</v>
      </c>
      <c r="F126" t="s">
        <v>23</v>
      </c>
      <c r="G126" s="1">
        <v>45753</v>
      </c>
      <c r="H126" t="s">
        <v>18</v>
      </c>
    </row>
    <row r="127" spans="1:8" x14ac:dyDescent="0.25">
      <c r="A127" t="s">
        <v>155</v>
      </c>
      <c r="B127" t="s">
        <v>9</v>
      </c>
      <c r="C127" t="s">
        <v>16</v>
      </c>
      <c r="D127">
        <v>91</v>
      </c>
      <c r="E127" t="s">
        <v>17</v>
      </c>
      <c r="F127" t="s">
        <v>12</v>
      </c>
      <c r="G127" s="1">
        <v>45754</v>
      </c>
      <c r="H127" t="s">
        <v>13</v>
      </c>
    </row>
    <row r="128" spans="1:8" x14ac:dyDescent="0.25">
      <c r="A128" t="s">
        <v>156</v>
      </c>
      <c r="B128" t="s">
        <v>15</v>
      </c>
      <c r="C128" t="s">
        <v>10</v>
      </c>
      <c r="D128">
        <v>100.6</v>
      </c>
      <c r="E128" t="s">
        <v>11</v>
      </c>
      <c r="F128" t="s">
        <v>12</v>
      </c>
      <c r="G128" s="1">
        <v>45755</v>
      </c>
      <c r="H128" t="s">
        <v>18</v>
      </c>
    </row>
    <row r="129" spans="1:8" x14ac:dyDescent="0.25">
      <c r="A129" t="s">
        <v>157</v>
      </c>
      <c r="B129" t="s">
        <v>20</v>
      </c>
      <c r="C129" t="s">
        <v>27</v>
      </c>
      <c r="D129">
        <v>6</v>
      </c>
      <c r="E129" t="s">
        <v>28</v>
      </c>
      <c r="F129" t="s">
        <v>12</v>
      </c>
      <c r="G129" s="1">
        <v>45756</v>
      </c>
      <c r="H129" t="s">
        <v>24</v>
      </c>
    </row>
    <row r="130" spans="1:8" x14ac:dyDescent="0.25">
      <c r="A130" t="s">
        <v>158</v>
      </c>
      <c r="B130" t="s">
        <v>26</v>
      </c>
      <c r="C130" t="s">
        <v>21</v>
      </c>
      <c r="D130">
        <v>0.2</v>
      </c>
      <c r="E130" t="s">
        <v>22</v>
      </c>
      <c r="F130" t="s">
        <v>12</v>
      </c>
      <c r="G130" s="1">
        <v>45757</v>
      </c>
      <c r="H130" t="s">
        <v>29</v>
      </c>
    </row>
    <row r="131" spans="1:8" x14ac:dyDescent="0.25">
      <c r="A131" t="s">
        <v>159</v>
      </c>
      <c r="B131" t="s">
        <v>31</v>
      </c>
      <c r="C131" t="s">
        <v>32</v>
      </c>
      <c r="D131">
        <v>5.7</v>
      </c>
      <c r="E131" t="s">
        <v>33</v>
      </c>
      <c r="F131" t="s">
        <v>12</v>
      </c>
      <c r="G131" s="1">
        <v>45758</v>
      </c>
      <c r="H131" t="s">
        <v>34</v>
      </c>
    </row>
    <row r="132" spans="1:8" x14ac:dyDescent="0.25">
      <c r="A132" t="s">
        <v>160</v>
      </c>
      <c r="B132" t="s">
        <v>9</v>
      </c>
      <c r="C132" t="s">
        <v>10</v>
      </c>
      <c r="D132">
        <v>98.8</v>
      </c>
      <c r="E132" t="s">
        <v>11</v>
      </c>
      <c r="F132" t="s">
        <v>12</v>
      </c>
      <c r="G132" s="1">
        <v>45759</v>
      </c>
      <c r="H132" t="s">
        <v>13</v>
      </c>
    </row>
    <row r="133" spans="1:8" x14ac:dyDescent="0.25">
      <c r="A133" t="s">
        <v>161</v>
      </c>
      <c r="B133" t="s">
        <v>15</v>
      </c>
      <c r="C133" t="s">
        <v>16</v>
      </c>
      <c r="D133">
        <v>92</v>
      </c>
      <c r="E133" t="s">
        <v>17</v>
      </c>
      <c r="F133" t="s">
        <v>12</v>
      </c>
      <c r="G133" s="1">
        <v>45760</v>
      </c>
      <c r="H133" t="s">
        <v>18</v>
      </c>
    </row>
    <row r="134" spans="1:8" x14ac:dyDescent="0.25">
      <c r="A134" t="s">
        <v>162</v>
      </c>
      <c r="B134" t="s">
        <v>20</v>
      </c>
      <c r="C134" t="s">
        <v>21</v>
      </c>
      <c r="D134">
        <v>0.26</v>
      </c>
      <c r="E134" t="s">
        <v>22</v>
      </c>
      <c r="F134" t="s">
        <v>23</v>
      </c>
      <c r="G134" s="1">
        <v>45761</v>
      </c>
      <c r="H134" t="s">
        <v>24</v>
      </c>
    </row>
    <row r="135" spans="1:8" x14ac:dyDescent="0.25">
      <c r="A135" t="s">
        <v>163</v>
      </c>
      <c r="B135" t="s">
        <v>26</v>
      </c>
      <c r="C135" t="s">
        <v>27</v>
      </c>
      <c r="D135">
        <v>6.3</v>
      </c>
      <c r="E135" t="s">
        <v>28</v>
      </c>
      <c r="F135" t="s">
        <v>12</v>
      </c>
      <c r="G135" s="1">
        <v>45762</v>
      </c>
      <c r="H135" t="s">
        <v>29</v>
      </c>
    </row>
    <row r="136" spans="1:8" x14ac:dyDescent="0.25">
      <c r="A136" t="s">
        <v>164</v>
      </c>
      <c r="B136" t="s">
        <v>31</v>
      </c>
      <c r="C136" t="s">
        <v>32</v>
      </c>
      <c r="D136">
        <v>5.6</v>
      </c>
      <c r="E136" t="s">
        <v>33</v>
      </c>
      <c r="F136" t="s">
        <v>12</v>
      </c>
      <c r="G136" s="1">
        <v>45763</v>
      </c>
      <c r="H136" t="s">
        <v>34</v>
      </c>
    </row>
    <row r="137" spans="1:8" x14ac:dyDescent="0.25">
      <c r="A137" t="s">
        <v>165</v>
      </c>
      <c r="B137" t="s">
        <v>9</v>
      </c>
      <c r="C137" t="s">
        <v>16</v>
      </c>
      <c r="D137">
        <v>93</v>
      </c>
      <c r="E137" t="s">
        <v>17</v>
      </c>
      <c r="F137" t="s">
        <v>12</v>
      </c>
      <c r="G137" s="1">
        <v>45764</v>
      </c>
      <c r="H137" t="s">
        <v>13</v>
      </c>
    </row>
    <row r="138" spans="1:8" x14ac:dyDescent="0.25">
      <c r="A138" t="s">
        <v>166</v>
      </c>
      <c r="B138" t="s">
        <v>15</v>
      </c>
      <c r="C138" t="s">
        <v>10</v>
      </c>
      <c r="D138">
        <v>101.5</v>
      </c>
      <c r="E138" t="s">
        <v>11</v>
      </c>
      <c r="F138" t="s">
        <v>12</v>
      </c>
      <c r="G138" s="1">
        <v>45765</v>
      </c>
      <c r="H138" t="s">
        <v>18</v>
      </c>
    </row>
    <row r="139" spans="1:8" x14ac:dyDescent="0.25">
      <c r="A139" t="s">
        <v>167</v>
      </c>
      <c r="B139" t="s">
        <v>20</v>
      </c>
      <c r="C139" t="s">
        <v>27</v>
      </c>
      <c r="D139">
        <v>6.8</v>
      </c>
      <c r="E139" t="s">
        <v>28</v>
      </c>
      <c r="F139" t="s">
        <v>12</v>
      </c>
      <c r="G139" s="1">
        <v>45766</v>
      </c>
      <c r="H139" t="s">
        <v>24</v>
      </c>
    </row>
    <row r="140" spans="1:8" x14ac:dyDescent="0.25">
      <c r="A140" t="s">
        <v>168</v>
      </c>
      <c r="B140" t="s">
        <v>26</v>
      </c>
      <c r="C140" t="s">
        <v>21</v>
      </c>
      <c r="D140">
        <v>0.15</v>
      </c>
      <c r="E140" t="s">
        <v>22</v>
      </c>
      <c r="F140" t="s">
        <v>12</v>
      </c>
      <c r="G140" s="1">
        <v>45767</v>
      </c>
      <c r="H140" t="s">
        <v>29</v>
      </c>
    </row>
    <row r="141" spans="1:8" x14ac:dyDescent="0.25">
      <c r="A141" t="s">
        <v>169</v>
      </c>
      <c r="B141" t="s">
        <v>31</v>
      </c>
      <c r="C141" t="s">
        <v>32</v>
      </c>
      <c r="D141">
        <v>6.3</v>
      </c>
      <c r="E141" t="s">
        <v>33</v>
      </c>
      <c r="F141" t="s">
        <v>23</v>
      </c>
      <c r="G141" s="1">
        <v>45768</v>
      </c>
      <c r="H141" t="s">
        <v>34</v>
      </c>
    </row>
    <row r="142" spans="1:8" x14ac:dyDescent="0.25">
      <c r="A142" t="s">
        <v>170</v>
      </c>
      <c r="B142" t="s">
        <v>9</v>
      </c>
      <c r="C142" t="s">
        <v>10</v>
      </c>
      <c r="D142">
        <v>99.4</v>
      </c>
      <c r="E142" t="s">
        <v>11</v>
      </c>
      <c r="F142" t="s">
        <v>12</v>
      </c>
      <c r="G142" s="1">
        <v>45769</v>
      </c>
      <c r="H142" t="s">
        <v>24</v>
      </c>
    </row>
    <row r="143" spans="1:8" x14ac:dyDescent="0.25">
      <c r="A143" t="s">
        <v>171</v>
      </c>
      <c r="B143" t="s">
        <v>15</v>
      </c>
      <c r="C143" t="s">
        <v>16</v>
      </c>
      <c r="D143">
        <v>89</v>
      </c>
      <c r="E143" t="s">
        <v>17</v>
      </c>
      <c r="F143" t="s">
        <v>12</v>
      </c>
      <c r="G143" s="1">
        <v>45770</v>
      </c>
      <c r="H143" t="s">
        <v>18</v>
      </c>
    </row>
    <row r="144" spans="1:8" x14ac:dyDescent="0.25">
      <c r="A144" t="s">
        <v>172</v>
      </c>
      <c r="B144" t="s">
        <v>20</v>
      </c>
      <c r="C144" t="s">
        <v>21</v>
      </c>
      <c r="D144">
        <v>0.18</v>
      </c>
      <c r="E144" t="s">
        <v>22</v>
      </c>
      <c r="F144" t="s">
        <v>12</v>
      </c>
      <c r="G144" s="1">
        <v>45771</v>
      </c>
      <c r="H144" t="s">
        <v>18</v>
      </c>
    </row>
    <row r="145" spans="1:8" x14ac:dyDescent="0.25">
      <c r="A145" t="s">
        <v>173</v>
      </c>
      <c r="B145" t="s">
        <v>26</v>
      </c>
      <c r="C145" t="s">
        <v>27</v>
      </c>
      <c r="D145">
        <v>6.5</v>
      </c>
      <c r="E145" t="s">
        <v>28</v>
      </c>
      <c r="F145" t="s">
        <v>12</v>
      </c>
      <c r="G145" s="1">
        <v>45772</v>
      </c>
      <c r="H145" t="s">
        <v>29</v>
      </c>
    </row>
    <row r="146" spans="1:8" x14ac:dyDescent="0.25">
      <c r="A146" t="s">
        <v>174</v>
      </c>
      <c r="B146" t="s">
        <v>31</v>
      </c>
      <c r="C146" t="s">
        <v>32</v>
      </c>
      <c r="D146">
        <v>5.8</v>
      </c>
      <c r="E146" t="s">
        <v>33</v>
      </c>
      <c r="F146" t="s">
        <v>12</v>
      </c>
      <c r="G146" s="1">
        <v>45773</v>
      </c>
      <c r="H146" t="s">
        <v>34</v>
      </c>
    </row>
    <row r="147" spans="1:8" x14ac:dyDescent="0.25">
      <c r="A147" t="s">
        <v>175</v>
      </c>
      <c r="B147" t="s">
        <v>9</v>
      </c>
      <c r="C147" t="s">
        <v>16</v>
      </c>
      <c r="D147">
        <v>94</v>
      </c>
      <c r="E147" t="s">
        <v>17</v>
      </c>
      <c r="F147" t="s">
        <v>12</v>
      </c>
      <c r="G147" s="1">
        <v>45774</v>
      </c>
      <c r="H147" t="s">
        <v>13</v>
      </c>
    </row>
    <row r="148" spans="1:8" x14ac:dyDescent="0.25">
      <c r="A148" t="s">
        <v>176</v>
      </c>
      <c r="B148" t="s">
        <v>15</v>
      </c>
      <c r="C148" t="s">
        <v>10</v>
      </c>
      <c r="D148">
        <v>102</v>
      </c>
      <c r="E148" t="s">
        <v>11</v>
      </c>
      <c r="F148" t="s">
        <v>12</v>
      </c>
      <c r="G148" s="1">
        <v>45775</v>
      </c>
      <c r="H148" t="s">
        <v>18</v>
      </c>
    </row>
    <row r="149" spans="1:8" x14ac:dyDescent="0.25">
      <c r="A149" t="s">
        <v>177</v>
      </c>
      <c r="B149" t="s">
        <v>20</v>
      </c>
      <c r="C149" t="s">
        <v>27</v>
      </c>
      <c r="D149">
        <v>5.9</v>
      </c>
      <c r="E149" t="s">
        <v>28</v>
      </c>
      <c r="F149" t="s">
        <v>12</v>
      </c>
      <c r="G149" s="1">
        <v>45776</v>
      </c>
      <c r="H149" t="s">
        <v>24</v>
      </c>
    </row>
    <row r="150" spans="1:8" x14ac:dyDescent="0.25">
      <c r="A150" t="s">
        <v>178</v>
      </c>
      <c r="B150" t="s">
        <v>26</v>
      </c>
      <c r="C150" t="s">
        <v>21</v>
      </c>
      <c r="D150">
        <v>0.22</v>
      </c>
      <c r="E150" t="s">
        <v>22</v>
      </c>
      <c r="F150" t="s">
        <v>23</v>
      </c>
      <c r="G150" s="1">
        <v>45777</v>
      </c>
      <c r="H150" t="s">
        <v>29</v>
      </c>
    </row>
    <row r="151" spans="1:8" x14ac:dyDescent="0.25">
      <c r="A151" t="s">
        <v>179</v>
      </c>
      <c r="B151" t="s">
        <v>31</v>
      </c>
      <c r="C151" t="s">
        <v>32</v>
      </c>
      <c r="D151">
        <v>5.4</v>
      </c>
      <c r="E151" t="s">
        <v>33</v>
      </c>
      <c r="F151" t="s">
        <v>12</v>
      </c>
      <c r="G151" s="1">
        <v>45778</v>
      </c>
      <c r="H151" t="s">
        <v>24</v>
      </c>
    </row>
    <row r="152" spans="1:8" x14ac:dyDescent="0.25">
      <c r="A152" t="s">
        <v>180</v>
      </c>
      <c r="B152" t="s">
        <v>9</v>
      </c>
      <c r="C152" t="s">
        <v>10</v>
      </c>
      <c r="D152">
        <v>99</v>
      </c>
      <c r="E152" t="s">
        <v>11</v>
      </c>
      <c r="F152" t="s">
        <v>12</v>
      </c>
      <c r="G152" s="1">
        <v>45779</v>
      </c>
      <c r="H152" t="s">
        <v>13</v>
      </c>
    </row>
    <row r="153" spans="1:8" x14ac:dyDescent="0.25">
      <c r="A153" t="s">
        <v>181</v>
      </c>
      <c r="B153" t="s">
        <v>15</v>
      </c>
      <c r="C153" t="s">
        <v>16</v>
      </c>
      <c r="D153">
        <v>90</v>
      </c>
      <c r="E153" t="s">
        <v>17</v>
      </c>
      <c r="F153" t="s">
        <v>12</v>
      </c>
      <c r="G153" s="1">
        <v>45780</v>
      </c>
      <c r="H153" t="s">
        <v>18</v>
      </c>
    </row>
    <row r="154" spans="1:8" x14ac:dyDescent="0.25">
      <c r="A154" t="s">
        <v>182</v>
      </c>
      <c r="B154" t="s">
        <v>20</v>
      </c>
      <c r="C154" t="s">
        <v>21</v>
      </c>
      <c r="D154">
        <v>0.17</v>
      </c>
      <c r="E154" t="s">
        <v>22</v>
      </c>
      <c r="F154" t="s">
        <v>12</v>
      </c>
      <c r="G154" s="1">
        <v>45781</v>
      </c>
      <c r="H154" t="s">
        <v>24</v>
      </c>
    </row>
    <row r="155" spans="1:8" x14ac:dyDescent="0.25">
      <c r="A155" t="s">
        <v>183</v>
      </c>
      <c r="B155" t="s">
        <v>26</v>
      </c>
      <c r="C155" t="s">
        <v>27</v>
      </c>
      <c r="D155">
        <v>6.6</v>
      </c>
      <c r="E155" t="s">
        <v>28</v>
      </c>
      <c r="F155" t="s">
        <v>12</v>
      </c>
      <c r="G155" s="1">
        <v>45782</v>
      </c>
      <c r="H155" t="s">
        <v>29</v>
      </c>
    </row>
    <row r="156" spans="1:8" x14ac:dyDescent="0.25">
      <c r="A156" t="s">
        <v>184</v>
      </c>
      <c r="B156" t="s">
        <v>31</v>
      </c>
      <c r="C156" t="s">
        <v>32</v>
      </c>
      <c r="D156">
        <v>6.2</v>
      </c>
      <c r="E156" t="s">
        <v>33</v>
      </c>
      <c r="F156" t="s">
        <v>23</v>
      </c>
      <c r="G156" s="1">
        <v>45783</v>
      </c>
      <c r="H156" t="s">
        <v>34</v>
      </c>
    </row>
    <row r="157" spans="1:8" x14ac:dyDescent="0.25">
      <c r="A157" t="s">
        <v>185</v>
      </c>
      <c r="B157" t="s">
        <v>15</v>
      </c>
      <c r="C157" t="s">
        <v>16</v>
      </c>
      <c r="D157">
        <v>91</v>
      </c>
      <c r="E157" t="s">
        <v>17</v>
      </c>
      <c r="F157" t="s">
        <v>12</v>
      </c>
      <c r="G157" s="1">
        <v>45784</v>
      </c>
      <c r="H157" t="s">
        <v>18</v>
      </c>
    </row>
    <row r="158" spans="1:8" x14ac:dyDescent="0.25">
      <c r="A158" t="s">
        <v>186</v>
      </c>
      <c r="B158" t="s">
        <v>15</v>
      </c>
      <c r="C158" t="s">
        <v>10</v>
      </c>
      <c r="D158">
        <v>100.9</v>
      </c>
      <c r="E158" t="s">
        <v>11</v>
      </c>
      <c r="F158" t="s">
        <v>12</v>
      </c>
      <c r="G158" s="1">
        <v>45785</v>
      </c>
      <c r="H158" t="s">
        <v>18</v>
      </c>
    </row>
    <row r="159" spans="1:8" x14ac:dyDescent="0.25">
      <c r="A159" t="s">
        <v>187</v>
      </c>
      <c r="B159" t="s">
        <v>20</v>
      </c>
      <c r="C159" t="s">
        <v>27</v>
      </c>
      <c r="D159">
        <v>6.1</v>
      </c>
      <c r="E159" t="s">
        <v>28</v>
      </c>
      <c r="F159" t="s">
        <v>12</v>
      </c>
      <c r="G159" s="1">
        <v>45786</v>
      </c>
      <c r="H159" t="s">
        <v>24</v>
      </c>
    </row>
    <row r="160" spans="1:8" x14ac:dyDescent="0.25">
      <c r="A160" t="s">
        <v>188</v>
      </c>
      <c r="B160" t="s">
        <v>26</v>
      </c>
      <c r="C160" t="s">
        <v>21</v>
      </c>
      <c r="D160">
        <v>0.19</v>
      </c>
      <c r="E160" t="s">
        <v>22</v>
      </c>
      <c r="F160" t="s">
        <v>12</v>
      </c>
      <c r="G160" s="1">
        <v>45787</v>
      </c>
      <c r="H160" t="s">
        <v>29</v>
      </c>
    </row>
    <row r="161" spans="1:8" x14ac:dyDescent="0.25">
      <c r="A161" t="s">
        <v>189</v>
      </c>
      <c r="B161" t="s">
        <v>26</v>
      </c>
      <c r="C161" t="s">
        <v>32</v>
      </c>
      <c r="D161">
        <v>4.3</v>
      </c>
      <c r="E161" t="s">
        <v>33</v>
      </c>
      <c r="F161" t="s">
        <v>12</v>
      </c>
      <c r="G161" s="1">
        <v>45788</v>
      </c>
      <c r="H161" t="s">
        <v>34</v>
      </c>
    </row>
    <row r="162" spans="1:8" x14ac:dyDescent="0.25">
      <c r="A162" t="s">
        <v>190</v>
      </c>
      <c r="B162" t="s">
        <v>9</v>
      </c>
      <c r="C162" t="s">
        <v>10</v>
      </c>
      <c r="D162">
        <v>98.5</v>
      </c>
      <c r="E162" t="s">
        <v>11</v>
      </c>
      <c r="F162" t="s">
        <v>12</v>
      </c>
      <c r="G162" s="1">
        <v>45789</v>
      </c>
      <c r="H162" t="s">
        <v>13</v>
      </c>
    </row>
    <row r="163" spans="1:8" x14ac:dyDescent="0.25">
      <c r="A163" t="s">
        <v>191</v>
      </c>
      <c r="B163" t="s">
        <v>15</v>
      </c>
      <c r="C163" t="s">
        <v>16</v>
      </c>
      <c r="D163">
        <v>92</v>
      </c>
      <c r="E163" t="s">
        <v>17</v>
      </c>
      <c r="F163" t="s">
        <v>12</v>
      </c>
      <c r="G163" s="1">
        <v>45790</v>
      </c>
      <c r="H163" t="s">
        <v>18</v>
      </c>
    </row>
    <row r="164" spans="1:8" x14ac:dyDescent="0.25">
      <c r="A164" t="s">
        <v>192</v>
      </c>
      <c r="B164" t="s">
        <v>20</v>
      </c>
      <c r="C164" t="s">
        <v>21</v>
      </c>
      <c r="D164">
        <v>0.28000000000000003</v>
      </c>
      <c r="E164" t="s">
        <v>22</v>
      </c>
      <c r="F164" t="s">
        <v>23</v>
      </c>
      <c r="G164" s="1">
        <v>45791</v>
      </c>
      <c r="H164" t="s">
        <v>24</v>
      </c>
    </row>
    <row r="165" spans="1:8" x14ac:dyDescent="0.25">
      <c r="A165" t="s">
        <v>193</v>
      </c>
      <c r="B165" t="s">
        <v>26</v>
      </c>
      <c r="C165" t="s">
        <v>27</v>
      </c>
      <c r="D165">
        <v>6.4</v>
      </c>
      <c r="E165" t="s">
        <v>28</v>
      </c>
      <c r="F165" t="s">
        <v>12</v>
      </c>
      <c r="G165" s="1">
        <v>45792</v>
      </c>
      <c r="H165" t="s">
        <v>29</v>
      </c>
    </row>
    <row r="166" spans="1:8" x14ac:dyDescent="0.25">
      <c r="A166" t="s">
        <v>194</v>
      </c>
      <c r="B166" t="s">
        <v>31</v>
      </c>
      <c r="C166" t="s">
        <v>32</v>
      </c>
      <c r="D166">
        <v>5.6</v>
      </c>
      <c r="E166" t="s">
        <v>33</v>
      </c>
      <c r="F166" t="s">
        <v>12</v>
      </c>
      <c r="G166" s="1">
        <v>45793</v>
      </c>
      <c r="H166" t="s">
        <v>34</v>
      </c>
    </row>
    <row r="167" spans="1:8" x14ac:dyDescent="0.25">
      <c r="A167" t="s">
        <v>195</v>
      </c>
      <c r="B167" t="s">
        <v>9</v>
      </c>
      <c r="C167" t="s">
        <v>16</v>
      </c>
      <c r="D167">
        <v>93</v>
      </c>
      <c r="E167" t="s">
        <v>17</v>
      </c>
      <c r="F167" t="s">
        <v>12</v>
      </c>
      <c r="G167" s="1">
        <v>45794</v>
      </c>
      <c r="H167" t="s">
        <v>13</v>
      </c>
    </row>
    <row r="168" spans="1:8" x14ac:dyDescent="0.25">
      <c r="A168" t="s">
        <v>196</v>
      </c>
      <c r="B168" t="s">
        <v>15</v>
      </c>
      <c r="C168" t="s">
        <v>10</v>
      </c>
      <c r="D168">
        <v>101.7</v>
      </c>
      <c r="E168" t="s">
        <v>11</v>
      </c>
      <c r="F168" t="s">
        <v>12</v>
      </c>
      <c r="G168" s="1">
        <v>45795</v>
      </c>
      <c r="H168" t="s">
        <v>18</v>
      </c>
    </row>
    <row r="169" spans="1:8" x14ac:dyDescent="0.25">
      <c r="A169" t="s">
        <v>197</v>
      </c>
      <c r="B169" t="s">
        <v>20</v>
      </c>
      <c r="C169" t="s">
        <v>27</v>
      </c>
      <c r="D169">
        <v>5.8</v>
      </c>
      <c r="E169" t="s">
        <v>28</v>
      </c>
      <c r="F169" t="s">
        <v>12</v>
      </c>
      <c r="G169" s="1">
        <v>45796</v>
      </c>
      <c r="H169" t="s">
        <v>24</v>
      </c>
    </row>
    <row r="170" spans="1:8" x14ac:dyDescent="0.25">
      <c r="A170" t="s">
        <v>198</v>
      </c>
      <c r="B170" t="s">
        <v>26</v>
      </c>
      <c r="C170" t="s">
        <v>21</v>
      </c>
      <c r="D170">
        <v>0.14000000000000001</v>
      </c>
      <c r="E170" t="s">
        <v>22</v>
      </c>
      <c r="F170" t="s">
        <v>12</v>
      </c>
      <c r="G170" s="1">
        <v>45797</v>
      </c>
      <c r="H170" t="s">
        <v>29</v>
      </c>
    </row>
    <row r="171" spans="1:8" x14ac:dyDescent="0.25">
      <c r="A171" t="s">
        <v>199</v>
      </c>
      <c r="B171" t="s">
        <v>31</v>
      </c>
      <c r="C171" t="s">
        <v>32</v>
      </c>
      <c r="D171">
        <v>6.3</v>
      </c>
      <c r="E171" t="s">
        <v>33</v>
      </c>
      <c r="F171" t="s">
        <v>23</v>
      </c>
      <c r="G171" s="1">
        <v>45798</v>
      </c>
      <c r="H171" t="s">
        <v>34</v>
      </c>
    </row>
    <row r="172" spans="1:8" x14ac:dyDescent="0.25">
      <c r="A172" t="s">
        <v>200</v>
      </c>
      <c r="B172" t="s">
        <v>9</v>
      </c>
      <c r="C172" t="s">
        <v>10</v>
      </c>
      <c r="D172">
        <v>99.3</v>
      </c>
      <c r="E172" t="s">
        <v>11</v>
      </c>
      <c r="F172" t="s">
        <v>12</v>
      </c>
      <c r="G172" s="1">
        <v>45799</v>
      </c>
      <c r="H172" t="s">
        <v>13</v>
      </c>
    </row>
    <row r="173" spans="1:8" x14ac:dyDescent="0.25">
      <c r="A173" t="s">
        <v>201</v>
      </c>
      <c r="B173" t="s">
        <v>15</v>
      </c>
      <c r="C173" t="s">
        <v>16</v>
      </c>
      <c r="D173">
        <v>89</v>
      </c>
      <c r="E173" t="s">
        <v>17</v>
      </c>
      <c r="F173" t="s">
        <v>12</v>
      </c>
      <c r="G173" s="1">
        <v>45800</v>
      </c>
      <c r="H173" t="s">
        <v>18</v>
      </c>
    </row>
    <row r="174" spans="1:8" x14ac:dyDescent="0.25">
      <c r="A174" t="s">
        <v>202</v>
      </c>
      <c r="B174" t="s">
        <v>20</v>
      </c>
      <c r="C174" t="s">
        <v>21</v>
      </c>
      <c r="D174">
        <v>0.18</v>
      </c>
      <c r="E174" t="s">
        <v>22</v>
      </c>
      <c r="F174" t="s">
        <v>12</v>
      </c>
      <c r="G174" s="1">
        <v>45801</v>
      </c>
      <c r="H174" t="s">
        <v>24</v>
      </c>
    </row>
    <row r="175" spans="1:8" x14ac:dyDescent="0.25">
      <c r="A175" t="s">
        <v>203</v>
      </c>
      <c r="B175" t="s">
        <v>26</v>
      </c>
      <c r="C175" t="s">
        <v>27</v>
      </c>
      <c r="D175">
        <v>6.7</v>
      </c>
      <c r="E175" t="s">
        <v>28</v>
      </c>
      <c r="F175" t="s">
        <v>12</v>
      </c>
      <c r="G175" s="1">
        <v>45802</v>
      </c>
      <c r="H175" t="s">
        <v>29</v>
      </c>
    </row>
    <row r="176" spans="1:8" x14ac:dyDescent="0.25">
      <c r="A176" t="s">
        <v>204</v>
      </c>
      <c r="B176" t="s">
        <v>31</v>
      </c>
      <c r="C176" t="s">
        <v>32</v>
      </c>
      <c r="D176">
        <v>5.5</v>
      </c>
      <c r="E176" t="s">
        <v>33</v>
      </c>
      <c r="F176" t="s">
        <v>12</v>
      </c>
      <c r="G176" s="1">
        <v>45803</v>
      </c>
      <c r="H176" t="s">
        <v>34</v>
      </c>
    </row>
    <row r="177" spans="1:8" x14ac:dyDescent="0.25">
      <c r="A177" t="s">
        <v>205</v>
      </c>
      <c r="B177" t="s">
        <v>15</v>
      </c>
      <c r="C177" t="s">
        <v>16</v>
      </c>
      <c r="D177">
        <v>92</v>
      </c>
      <c r="E177" t="s">
        <v>17</v>
      </c>
      <c r="F177" t="s">
        <v>12</v>
      </c>
      <c r="G177" s="1">
        <v>45804</v>
      </c>
      <c r="H177" t="s">
        <v>13</v>
      </c>
    </row>
    <row r="178" spans="1:8" x14ac:dyDescent="0.25">
      <c r="A178" t="s">
        <v>206</v>
      </c>
      <c r="B178" t="s">
        <v>15</v>
      </c>
      <c r="C178" t="s">
        <v>10</v>
      </c>
      <c r="D178">
        <v>100.4</v>
      </c>
      <c r="E178" t="s">
        <v>11</v>
      </c>
      <c r="F178" t="s">
        <v>12</v>
      </c>
      <c r="G178" s="1">
        <v>45805</v>
      </c>
      <c r="H178" t="s">
        <v>18</v>
      </c>
    </row>
    <row r="179" spans="1:8" x14ac:dyDescent="0.25">
      <c r="A179" t="s">
        <v>207</v>
      </c>
      <c r="B179" t="s">
        <v>20</v>
      </c>
      <c r="C179" t="s">
        <v>27</v>
      </c>
      <c r="D179">
        <v>6.2</v>
      </c>
      <c r="E179" t="s">
        <v>28</v>
      </c>
      <c r="F179" t="s">
        <v>12</v>
      </c>
      <c r="G179" s="1">
        <v>45806</v>
      </c>
      <c r="H179" t="s">
        <v>24</v>
      </c>
    </row>
    <row r="180" spans="1:8" x14ac:dyDescent="0.25">
      <c r="A180" t="s">
        <v>208</v>
      </c>
      <c r="B180" t="s">
        <v>26</v>
      </c>
      <c r="C180" t="s">
        <v>21</v>
      </c>
      <c r="D180">
        <v>0.21</v>
      </c>
      <c r="E180" t="s">
        <v>22</v>
      </c>
      <c r="F180" t="s">
        <v>23</v>
      </c>
      <c r="G180" s="1">
        <v>45807</v>
      </c>
      <c r="H180" t="s">
        <v>29</v>
      </c>
    </row>
    <row r="181" spans="1:8" x14ac:dyDescent="0.25">
      <c r="A181" t="s">
        <v>209</v>
      </c>
      <c r="B181" t="s">
        <v>31</v>
      </c>
      <c r="C181" t="s">
        <v>32</v>
      </c>
      <c r="D181">
        <v>5.8</v>
      </c>
      <c r="E181" t="s">
        <v>33</v>
      </c>
      <c r="F181" t="s">
        <v>12</v>
      </c>
      <c r="G181" s="1">
        <v>45808</v>
      </c>
      <c r="H181" t="s">
        <v>34</v>
      </c>
    </row>
    <row r="182" spans="1:8" x14ac:dyDescent="0.25">
      <c r="A182" t="s">
        <v>210</v>
      </c>
      <c r="B182" t="s">
        <v>9</v>
      </c>
      <c r="C182" t="s">
        <v>10</v>
      </c>
      <c r="D182">
        <v>98.9</v>
      </c>
      <c r="E182" t="s">
        <v>11</v>
      </c>
      <c r="F182" t="s">
        <v>12</v>
      </c>
      <c r="G182" s="1">
        <v>45809</v>
      </c>
      <c r="H182" t="s">
        <v>13</v>
      </c>
    </row>
    <row r="183" spans="1:8" x14ac:dyDescent="0.25">
      <c r="A183" t="s">
        <v>211</v>
      </c>
      <c r="B183" t="s">
        <v>15</v>
      </c>
      <c r="C183" t="s">
        <v>16</v>
      </c>
      <c r="D183">
        <v>91</v>
      </c>
      <c r="E183" t="s">
        <v>17</v>
      </c>
      <c r="F183" t="s">
        <v>12</v>
      </c>
      <c r="G183" s="1">
        <v>45810</v>
      </c>
      <c r="H183" t="s">
        <v>18</v>
      </c>
    </row>
    <row r="184" spans="1:8" x14ac:dyDescent="0.25">
      <c r="A184" t="s">
        <v>212</v>
      </c>
      <c r="B184" t="s">
        <v>20</v>
      </c>
      <c r="C184" t="s">
        <v>21</v>
      </c>
      <c r="D184">
        <v>0.24</v>
      </c>
      <c r="E184" t="s">
        <v>22</v>
      </c>
      <c r="F184" t="s">
        <v>23</v>
      </c>
      <c r="G184" s="1">
        <v>45811</v>
      </c>
      <c r="H184" t="s">
        <v>24</v>
      </c>
    </row>
    <row r="185" spans="1:8" x14ac:dyDescent="0.25">
      <c r="A185" t="s">
        <v>213</v>
      </c>
      <c r="B185" t="s">
        <v>26</v>
      </c>
      <c r="C185" t="s">
        <v>27</v>
      </c>
      <c r="D185">
        <v>6.3</v>
      </c>
      <c r="E185" t="s">
        <v>28</v>
      </c>
      <c r="F185" t="s">
        <v>12</v>
      </c>
      <c r="G185" s="1">
        <v>45812</v>
      </c>
      <c r="H185" t="s">
        <v>29</v>
      </c>
    </row>
    <row r="186" spans="1:8" x14ac:dyDescent="0.25">
      <c r="A186" t="s">
        <v>214</v>
      </c>
      <c r="B186" t="s">
        <v>31</v>
      </c>
      <c r="C186" t="s">
        <v>32</v>
      </c>
      <c r="D186">
        <v>5.6</v>
      </c>
      <c r="E186" t="s">
        <v>33</v>
      </c>
      <c r="F186" t="s">
        <v>12</v>
      </c>
      <c r="G186" s="1">
        <v>45813</v>
      </c>
      <c r="H186" t="s">
        <v>34</v>
      </c>
    </row>
    <row r="187" spans="1:8" x14ac:dyDescent="0.25">
      <c r="A187" t="s">
        <v>215</v>
      </c>
      <c r="B187" t="s">
        <v>15</v>
      </c>
      <c r="C187" t="s">
        <v>16</v>
      </c>
      <c r="D187">
        <v>93</v>
      </c>
      <c r="E187" t="s">
        <v>17</v>
      </c>
      <c r="F187" t="s">
        <v>12</v>
      </c>
      <c r="G187" s="1">
        <v>45814</v>
      </c>
      <c r="H187" t="s">
        <v>13</v>
      </c>
    </row>
    <row r="188" spans="1:8" x14ac:dyDescent="0.25">
      <c r="A188" t="s">
        <v>216</v>
      </c>
      <c r="B188" t="s">
        <v>15</v>
      </c>
      <c r="C188" t="s">
        <v>10</v>
      </c>
      <c r="D188">
        <v>101.2</v>
      </c>
      <c r="E188" t="s">
        <v>11</v>
      </c>
      <c r="F188" t="s">
        <v>12</v>
      </c>
      <c r="G188" s="1">
        <v>45815</v>
      </c>
      <c r="H188" t="s">
        <v>18</v>
      </c>
    </row>
    <row r="189" spans="1:8" x14ac:dyDescent="0.25">
      <c r="A189" t="s">
        <v>217</v>
      </c>
      <c r="B189" t="s">
        <v>20</v>
      </c>
      <c r="C189" t="s">
        <v>27</v>
      </c>
      <c r="D189">
        <v>7.1</v>
      </c>
      <c r="E189" t="s">
        <v>28</v>
      </c>
      <c r="F189" t="s">
        <v>23</v>
      </c>
      <c r="G189" s="1">
        <v>45816</v>
      </c>
      <c r="H189" t="s">
        <v>24</v>
      </c>
    </row>
    <row r="190" spans="1:8" x14ac:dyDescent="0.25">
      <c r="A190" t="s">
        <v>218</v>
      </c>
      <c r="B190" t="s">
        <v>26</v>
      </c>
      <c r="C190" t="s">
        <v>21</v>
      </c>
      <c r="D190">
        <v>0.16</v>
      </c>
      <c r="E190" t="s">
        <v>22</v>
      </c>
      <c r="F190" t="s">
        <v>12</v>
      </c>
      <c r="G190" s="1">
        <v>45817</v>
      </c>
      <c r="H190" t="s">
        <v>29</v>
      </c>
    </row>
    <row r="191" spans="1:8" x14ac:dyDescent="0.25">
      <c r="A191" t="s">
        <v>219</v>
      </c>
      <c r="B191" t="s">
        <v>31</v>
      </c>
      <c r="C191" t="s">
        <v>32</v>
      </c>
      <c r="D191">
        <v>5.9</v>
      </c>
      <c r="E191" t="s">
        <v>33</v>
      </c>
      <c r="F191" t="s">
        <v>12</v>
      </c>
      <c r="G191" s="1">
        <v>45818</v>
      </c>
      <c r="H191" t="s">
        <v>24</v>
      </c>
    </row>
    <row r="192" spans="1:8" x14ac:dyDescent="0.25">
      <c r="A192" t="s">
        <v>220</v>
      </c>
      <c r="B192" t="s">
        <v>9</v>
      </c>
      <c r="C192" t="s">
        <v>10</v>
      </c>
      <c r="D192">
        <v>99.4</v>
      </c>
      <c r="E192" t="s">
        <v>11</v>
      </c>
      <c r="F192" t="s">
        <v>12</v>
      </c>
      <c r="G192" s="1">
        <v>45819</v>
      </c>
      <c r="H192" t="s">
        <v>13</v>
      </c>
    </row>
    <row r="193" spans="1:8" x14ac:dyDescent="0.25">
      <c r="A193" t="s">
        <v>221</v>
      </c>
      <c r="B193" t="s">
        <v>15</v>
      </c>
      <c r="C193" t="s">
        <v>16</v>
      </c>
      <c r="D193">
        <v>88</v>
      </c>
      <c r="E193" t="s">
        <v>17</v>
      </c>
      <c r="F193" t="s">
        <v>12</v>
      </c>
      <c r="G193" s="1">
        <v>45820</v>
      </c>
      <c r="H193" t="s">
        <v>18</v>
      </c>
    </row>
    <row r="194" spans="1:8" x14ac:dyDescent="0.25">
      <c r="A194" t="s">
        <v>222</v>
      </c>
      <c r="B194" t="s">
        <v>20</v>
      </c>
      <c r="C194" t="s">
        <v>21</v>
      </c>
      <c r="D194">
        <v>0.18</v>
      </c>
      <c r="E194" t="s">
        <v>22</v>
      </c>
      <c r="F194" t="s">
        <v>12</v>
      </c>
      <c r="G194" s="1">
        <v>45821</v>
      </c>
      <c r="H194" t="s">
        <v>24</v>
      </c>
    </row>
    <row r="195" spans="1:8" x14ac:dyDescent="0.25">
      <c r="A195" t="s">
        <v>223</v>
      </c>
      <c r="B195" t="s">
        <v>26</v>
      </c>
      <c r="C195" t="s">
        <v>27</v>
      </c>
      <c r="D195">
        <v>6.7</v>
      </c>
      <c r="E195" t="s">
        <v>28</v>
      </c>
      <c r="F195" t="s">
        <v>12</v>
      </c>
      <c r="G195" s="1">
        <v>45822</v>
      </c>
      <c r="H195" t="s">
        <v>24</v>
      </c>
    </row>
    <row r="196" spans="1:8" x14ac:dyDescent="0.25">
      <c r="A196" t="s">
        <v>224</v>
      </c>
      <c r="B196" t="s">
        <v>31</v>
      </c>
      <c r="C196" t="s">
        <v>32</v>
      </c>
      <c r="D196">
        <v>6.3</v>
      </c>
      <c r="E196" t="s">
        <v>33</v>
      </c>
      <c r="F196" t="s">
        <v>23</v>
      </c>
      <c r="G196" s="1">
        <v>45823</v>
      </c>
      <c r="H196" t="s">
        <v>34</v>
      </c>
    </row>
    <row r="197" spans="1:8" x14ac:dyDescent="0.25">
      <c r="A197" t="s">
        <v>225</v>
      </c>
      <c r="B197" t="s">
        <v>9</v>
      </c>
      <c r="C197" t="s">
        <v>16</v>
      </c>
      <c r="D197">
        <v>92</v>
      </c>
      <c r="E197" t="s">
        <v>17</v>
      </c>
      <c r="F197" t="s">
        <v>12</v>
      </c>
      <c r="G197" s="1">
        <v>45824</v>
      </c>
      <c r="H197" t="s">
        <v>13</v>
      </c>
    </row>
    <row r="198" spans="1:8" x14ac:dyDescent="0.25">
      <c r="A198" t="s">
        <v>226</v>
      </c>
      <c r="B198" t="s">
        <v>15</v>
      </c>
      <c r="C198" t="s">
        <v>10</v>
      </c>
      <c r="D198">
        <v>100.6</v>
      </c>
      <c r="E198" t="s">
        <v>11</v>
      </c>
      <c r="F198" t="s">
        <v>12</v>
      </c>
      <c r="G198" s="1">
        <v>45825</v>
      </c>
      <c r="H198" t="s">
        <v>18</v>
      </c>
    </row>
    <row r="199" spans="1:8" x14ac:dyDescent="0.25">
      <c r="A199" t="s">
        <v>227</v>
      </c>
      <c r="B199" t="s">
        <v>20</v>
      </c>
      <c r="C199" t="s">
        <v>27</v>
      </c>
      <c r="D199">
        <v>5.8</v>
      </c>
      <c r="E199" t="s">
        <v>28</v>
      </c>
      <c r="F199" t="s">
        <v>12</v>
      </c>
      <c r="G199" s="1">
        <v>45826</v>
      </c>
      <c r="H199" t="s">
        <v>24</v>
      </c>
    </row>
    <row r="200" spans="1:8" x14ac:dyDescent="0.25">
      <c r="A200" t="s">
        <v>228</v>
      </c>
      <c r="B200" t="s">
        <v>26</v>
      </c>
      <c r="C200" t="s">
        <v>21</v>
      </c>
      <c r="D200">
        <v>0.22</v>
      </c>
      <c r="E200" t="s">
        <v>22</v>
      </c>
      <c r="F200" t="s">
        <v>23</v>
      </c>
      <c r="G200" s="1">
        <v>45827</v>
      </c>
      <c r="H200" t="s">
        <v>29</v>
      </c>
    </row>
    <row r="201" spans="1:8" x14ac:dyDescent="0.25">
      <c r="A201" t="s">
        <v>229</v>
      </c>
      <c r="B201" t="s">
        <v>31</v>
      </c>
      <c r="C201" t="s">
        <v>32</v>
      </c>
      <c r="D201">
        <v>5.7</v>
      </c>
      <c r="E201" t="s">
        <v>33</v>
      </c>
      <c r="F201" t="s">
        <v>12</v>
      </c>
      <c r="G201" s="1">
        <v>45828</v>
      </c>
      <c r="H201" t="s">
        <v>34</v>
      </c>
    </row>
  </sheetData>
  <pageMargins left="0.7" right="0.7" top="0.75" bottom="0.75" header="0.3" footer="0.3"/>
  <pageSetup paperSize="9" orientation="portrait" verticalDpi="3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Views>
    <sheetView workbookViewId="0">
      <selection activeCell="B17" sqref="B17"/>
    </sheetView>
  </sheetViews>
  <sheetFormatPr defaultRowHeight="15" x14ac:dyDescent="0.25"/>
  <cols>
    <col min="1" max="1" width="20.5703125" customWidth="1"/>
    <col min="2" max="2" width="24.140625" customWidth="1"/>
    <col min="3" max="3" width="27.28515625" customWidth="1"/>
    <col min="4" max="4" width="31.7109375" customWidth="1"/>
  </cols>
  <sheetData>
    <row r="1" spans="1:4" ht="15.75" x14ac:dyDescent="0.25">
      <c r="A1" s="8" t="s">
        <v>233</v>
      </c>
      <c r="B1" s="8" t="s">
        <v>234</v>
      </c>
      <c r="C1" s="8" t="s">
        <v>236</v>
      </c>
      <c r="D1" s="8" t="s">
        <v>235</v>
      </c>
    </row>
    <row r="2" spans="1:4" ht="23.25" x14ac:dyDescent="0.35">
      <c r="A2" s="9">
        <f>COUNTA([1]Data!A2:A201)</f>
        <v>200</v>
      </c>
      <c r="B2" s="9">
        <v>200</v>
      </c>
      <c r="C2" s="10">
        <f>COUNTIF(pharma_qc_dataset!F:F,"Yes")</f>
        <v>33</v>
      </c>
      <c r="D2" s="11">
        <f>COUNTIF(pharma_qc_dataset!F:F,"Yes")/COUNTA(pharma_qc_dataset!A2:A201)</f>
        <v>0.16500000000000001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54"/>
  <sheetViews>
    <sheetView showGridLines="0" tabSelected="1" topLeftCell="A13" zoomScale="86" zoomScaleNormal="86" workbookViewId="0">
      <selection sqref="A1:U62"/>
    </sheetView>
  </sheetViews>
  <sheetFormatPr defaultRowHeight="15" x14ac:dyDescent="0.25"/>
  <cols>
    <col min="21" max="21" width="3.85546875" customWidth="1"/>
  </cols>
  <sheetData>
    <row r="1" spans="1:20" x14ac:dyDescent="0.25">
      <c r="A1" s="12"/>
      <c r="B1" s="12"/>
      <c r="C1" s="12"/>
      <c r="D1" s="12"/>
      <c r="E1" s="12"/>
      <c r="F1" s="12"/>
      <c r="G1" s="12"/>
      <c r="H1" s="12"/>
      <c r="I1" s="12"/>
      <c r="J1" s="12"/>
      <c r="K1" s="12"/>
      <c r="L1" s="12"/>
      <c r="M1" s="12"/>
      <c r="N1" s="12"/>
      <c r="O1" s="12"/>
      <c r="P1" s="12"/>
      <c r="Q1" s="12"/>
      <c r="R1" s="12"/>
      <c r="S1" s="12"/>
      <c r="T1" s="12"/>
    </row>
    <row r="2" spans="1:20" x14ac:dyDescent="0.25">
      <c r="A2" s="12"/>
      <c r="B2" s="12"/>
      <c r="C2" s="12"/>
      <c r="D2" s="12"/>
      <c r="E2" s="12"/>
      <c r="F2" s="12"/>
      <c r="G2" s="12"/>
      <c r="H2" s="12"/>
      <c r="I2" s="12"/>
      <c r="J2" s="12"/>
      <c r="K2" s="12"/>
      <c r="L2" s="12"/>
      <c r="M2" s="12"/>
      <c r="N2" s="12"/>
      <c r="O2" s="12"/>
      <c r="P2" s="12"/>
      <c r="Q2" s="12"/>
      <c r="R2" s="12"/>
      <c r="S2" s="12"/>
      <c r="T2" s="12"/>
    </row>
    <row r="3" spans="1:20" x14ac:dyDescent="0.25">
      <c r="A3" s="12"/>
      <c r="B3" s="12"/>
      <c r="C3" s="12"/>
      <c r="D3" s="12"/>
      <c r="E3" s="12"/>
      <c r="F3" s="12"/>
      <c r="G3" s="12"/>
      <c r="H3" s="12"/>
      <c r="I3" s="12"/>
      <c r="J3" s="12"/>
      <c r="K3" s="12"/>
      <c r="L3" s="12"/>
      <c r="M3" s="12"/>
      <c r="N3" s="12"/>
      <c r="O3" s="12"/>
      <c r="P3" s="12"/>
      <c r="Q3" s="12"/>
      <c r="R3" s="12"/>
      <c r="S3" s="12"/>
      <c r="T3" s="12"/>
    </row>
    <row r="4" spans="1:20" x14ac:dyDescent="0.25">
      <c r="A4" s="12"/>
      <c r="B4" s="12"/>
      <c r="C4" s="12"/>
      <c r="D4" s="12"/>
      <c r="E4" s="12"/>
      <c r="F4" s="12"/>
      <c r="G4" s="12"/>
      <c r="H4" s="12"/>
      <c r="I4" s="12"/>
      <c r="J4" s="12"/>
      <c r="K4" s="12"/>
      <c r="L4" s="12"/>
      <c r="M4" s="12"/>
      <c r="N4" s="12"/>
      <c r="O4" s="12"/>
      <c r="P4" s="12"/>
      <c r="Q4" s="12"/>
      <c r="R4" s="12"/>
      <c r="S4" s="12"/>
      <c r="T4" s="12"/>
    </row>
    <row r="5" spans="1:20" x14ac:dyDescent="0.25">
      <c r="A5" s="12"/>
      <c r="B5" s="12"/>
      <c r="C5" s="12"/>
      <c r="D5" s="12"/>
      <c r="E5" s="12"/>
      <c r="F5" s="12"/>
      <c r="G5" s="12"/>
      <c r="H5" s="12"/>
      <c r="I5" s="12"/>
      <c r="J5" s="12"/>
      <c r="K5" s="12"/>
      <c r="L5" s="12"/>
      <c r="M5" s="12"/>
      <c r="N5" s="12"/>
      <c r="O5" s="12"/>
      <c r="P5" s="12"/>
      <c r="Q5" s="12"/>
      <c r="R5" s="12"/>
      <c r="S5" s="12"/>
      <c r="T5" s="12"/>
    </row>
    <row r="6" spans="1:20" x14ac:dyDescent="0.25">
      <c r="A6" s="12"/>
      <c r="B6" s="12"/>
      <c r="C6" s="12"/>
      <c r="D6" s="12"/>
      <c r="E6" s="12"/>
      <c r="F6" s="12"/>
      <c r="G6" s="12"/>
      <c r="H6" s="12"/>
      <c r="I6" s="12"/>
      <c r="J6" s="12"/>
      <c r="K6" s="12"/>
      <c r="L6" s="12"/>
      <c r="M6" s="12"/>
      <c r="N6" s="12"/>
      <c r="O6" s="12"/>
      <c r="P6" s="12"/>
      <c r="Q6" s="12"/>
      <c r="R6" s="12"/>
      <c r="S6" s="12"/>
      <c r="T6" s="12"/>
    </row>
    <row r="7" spans="1:20" x14ac:dyDescent="0.25">
      <c r="A7" s="12"/>
      <c r="B7" s="12"/>
      <c r="C7" s="12"/>
      <c r="D7" s="12"/>
      <c r="E7" s="12"/>
      <c r="F7" s="12"/>
      <c r="G7" s="12"/>
      <c r="H7" s="12"/>
      <c r="I7" s="12"/>
      <c r="J7" s="12"/>
      <c r="K7" s="12"/>
      <c r="L7" s="12"/>
      <c r="M7" s="12"/>
      <c r="N7" s="12"/>
      <c r="O7" s="12"/>
      <c r="P7" s="12"/>
      <c r="Q7" s="12"/>
      <c r="R7" s="12"/>
      <c r="S7" s="12"/>
      <c r="T7" s="12"/>
    </row>
    <row r="8" spans="1:20" x14ac:dyDescent="0.25">
      <c r="A8" s="12"/>
      <c r="B8" s="12"/>
      <c r="C8" s="12"/>
      <c r="D8" s="12"/>
      <c r="E8" s="12"/>
      <c r="F8" s="12"/>
      <c r="G8" s="12"/>
      <c r="H8" s="12"/>
      <c r="I8" s="12"/>
      <c r="J8" s="12"/>
      <c r="K8" s="12"/>
      <c r="L8" s="12"/>
      <c r="M8" s="12"/>
      <c r="N8" s="12"/>
      <c r="O8" s="12"/>
      <c r="P8" s="12"/>
      <c r="Q8" s="12"/>
      <c r="R8" s="13"/>
      <c r="S8" s="12"/>
      <c r="T8" s="12"/>
    </row>
    <row r="9" spans="1:20" x14ac:dyDescent="0.25">
      <c r="A9" s="12"/>
      <c r="B9" s="12"/>
      <c r="C9" s="12"/>
      <c r="D9" s="12"/>
      <c r="E9" s="12"/>
      <c r="F9" s="12"/>
      <c r="G9" s="12"/>
      <c r="H9" s="12"/>
      <c r="I9" s="12"/>
      <c r="J9" s="12"/>
      <c r="K9" s="12"/>
      <c r="L9" s="12"/>
      <c r="M9" s="12"/>
      <c r="N9" s="12"/>
      <c r="O9" s="12"/>
      <c r="P9" s="12"/>
      <c r="Q9" s="12"/>
      <c r="R9" s="12"/>
      <c r="S9" s="12"/>
      <c r="T9" s="12"/>
    </row>
    <row r="10" spans="1:20" x14ac:dyDescent="0.25">
      <c r="A10" s="12"/>
      <c r="B10" s="12"/>
      <c r="C10" s="12"/>
      <c r="D10" s="12"/>
      <c r="E10" s="12"/>
      <c r="F10" s="12"/>
      <c r="G10" s="12"/>
      <c r="H10" s="12"/>
      <c r="I10" s="12"/>
      <c r="J10" s="12"/>
      <c r="K10" s="12"/>
      <c r="L10" s="12"/>
      <c r="M10" s="12"/>
      <c r="N10" s="12"/>
      <c r="O10" s="12"/>
      <c r="P10" s="12"/>
      <c r="Q10" s="12"/>
      <c r="R10" s="12"/>
      <c r="S10" s="12"/>
      <c r="T10" s="12"/>
    </row>
    <row r="11" spans="1:20" x14ac:dyDescent="0.25">
      <c r="A11" s="12"/>
      <c r="B11" s="12"/>
      <c r="C11" s="12"/>
      <c r="D11" s="12"/>
      <c r="E11" s="12"/>
      <c r="F11" s="12"/>
      <c r="G11" s="12"/>
      <c r="H11" s="12"/>
      <c r="I11" s="12"/>
      <c r="J11" s="12"/>
      <c r="K11" s="12"/>
      <c r="L11" s="12"/>
      <c r="M11" s="12"/>
      <c r="N11" s="12"/>
      <c r="O11" s="12"/>
      <c r="P11" s="12"/>
      <c r="Q11" s="12"/>
      <c r="R11" s="12"/>
      <c r="S11" s="12"/>
      <c r="T11" s="12"/>
    </row>
    <row r="12" spans="1:20" x14ac:dyDescent="0.25">
      <c r="A12" s="12"/>
      <c r="B12" s="12"/>
      <c r="C12" s="12"/>
      <c r="D12" s="12"/>
      <c r="E12" s="12"/>
      <c r="F12" s="12"/>
      <c r="G12" s="12"/>
      <c r="H12" s="12"/>
      <c r="I12" s="12"/>
      <c r="J12" s="12"/>
      <c r="K12" s="12"/>
      <c r="L12" s="12"/>
      <c r="M12" s="12"/>
      <c r="N12" s="12"/>
      <c r="O12" s="12"/>
      <c r="P12" s="12"/>
      <c r="Q12" s="12"/>
      <c r="R12" s="12"/>
      <c r="S12" s="12"/>
      <c r="T12" s="12"/>
    </row>
    <row r="13" spans="1:20" x14ac:dyDescent="0.25">
      <c r="A13" s="12"/>
      <c r="B13" s="12"/>
      <c r="C13" s="12"/>
      <c r="D13" s="12"/>
      <c r="E13" s="12"/>
      <c r="F13" s="12"/>
      <c r="G13" s="12"/>
      <c r="H13" s="12"/>
      <c r="I13" s="12"/>
      <c r="J13" s="12"/>
      <c r="K13" s="12"/>
      <c r="L13" s="12"/>
      <c r="M13" s="12"/>
      <c r="N13" s="12"/>
      <c r="O13" s="12"/>
      <c r="P13" s="12"/>
      <c r="Q13" s="12"/>
      <c r="R13" s="12"/>
      <c r="S13" s="12"/>
      <c r="T13" s="12"/>
    </row>
    <row r="14" spans="1:20" x14ac:dyDescent="0.25">
      <c r="A14" s="12"/>
      <c r="B14" s="12"/>
      <c r="C14" s="12"/>
      <c r="D14" s="12"/>
      <c r="E14" s="12"/>
      <c r="F14" s="12"/>
      <c r="G14" s="12"/>
      <c r="H14" s="12"/>
      <c r="I14" s="12"/>
      <c r="J14" s="12"/>
      <c r="K14" s="12"/>
      <c r="L14" s="12"/>
      <c r="M14" s="12"/>
      <c r="N14" s="12"/>
      <c r="O14" s="12"/>
      <c r="P14" s="12"/>
      <c r="Q14" s="12"/>
      <c r="R14" s="12"/>
      <c r="S14" s="12"/>
      <c r="T14" s="12"/>
    </row>
    <row r="15" spans="1:20" x14ac:dyDescent="0.25">
      <c r="A15" s="12"/>
      <c r="B15" s="12"/>
      <c r="C15" s="12"/>
      <c r="D15" s="12"/>
      <c r="E15" s="12"/>
      <c r="F15" s="12"/>
      <c r="G15" s="12"/>
      <c r="H15" s="12"/>
      <c r="I15" s="12"/>
      <c r="J15" s="12"/>
      <c r="K15" s="12"/>
      <c r="L15" s="12"/>
      <c r="M15" s="12"/>
      <c r="N15" s="12"/>
      <c r="O15" s="12"/>
      <c r="P15" s="12"/>
      <c r="Q15" s="12"/>
      <c r="R15" s="12"/>
      <c r="S15" s="12"/>
      <c r="T15" s="12"/>
    </row>
    <row r="16" spans="1:20" x14ac:dyDescent="0.25">
      <c r="A16" s="12"/>
      <c r="B16" s="12"/>
      <c r="C16" s="12"/>
      <c r="D16" s="12"/>
      <c r="E16" s="12"/>
      <c r="F16" s="12"/>
      <c r="G16" s="12"/>
      <c r="H16" s="12"/>
      <c r="I16" s="12"/>
      <c r="J16" s="12"/>
      <c r="K16" s="12"/>
      <c r="L16" s="12"/>
      <c r="M16" s="12"/>
      <c r="N16" s="12"/>
      <c r="O16" s="12"/>
      <c r="P16" s="12"/>
      <c r="Q16" s="12"/>
      <c r="R16" s="12"/>
      <c r="S16" s="12"/>
      <c r="T16" s="12"/>
    </row>
    <row r="17" spans="1:20" x14ac:dyDescent="0.25">
      <c r="A17" s="12"/>
      <c r="B17" s="12"/>
      <c r="C17" s="12"/>
      <c r="D17" s="12"/>
      <c r="E17" s="12"/>
      <c r="F17" s="12"/>
      <c r="G17" s="12"/>
      <c r="H17" s="12"/>
      <c r="I17" s="12"/>
      <c r="J17" s="12"/>
      <c r="K17" s="12"/>
      <c r="L17" s="12"/>
      <c r="M17" s="12"/>
      <c r="N17" s="12"/>
      <c r="O17" s="12"/>
      <c r="P17" s="12"/>
      <c r="Q17" s="12"/>
      <c r="R17" s="12"/>
      <c r="S17" s="12"/>
      <c r="T17" s="12"/>
    </row>
    <row r="18" spans="1:20" x14ac:dyDescent="0.25">
      <c r="A18" s="12"/>
      <c r="B18" s="12"/>
      <c r="C18" s="12"/>
      <c r="D18" s="12"/>
      <c r="E18" s="12"/>
      <c r="F18" s="12"/>
      <c r="G18" s="12"/>
      <c r="H18" s="12"/>
      <c r="I18" s="12"/>
      <c r="J18" s="12"/>
      <c r="K18" s="12"/>
      <c r="L18" s="12"/>
      <c r="M18" s="12"/>
      <c r="N18" s="12"/>
      <c r="O18" s="12"/>
      <c r="P18" s="12"/>
      <c r="Q18" s="12"/>
      <c r="R18" s="12"/>
      <c r="S18" s="12"/>
      <c r="T18" s="12"/>
    </row>
    <row r="19" spans="1:20" x14ac:dyDescent="0.25">
      <c r="A19" s="12"/>
      <c r="B19" s="12"/>
      <c r="C19" s="12"/>
      <c r="D19" s="12"/>
      <c r="E19" s="12"/>
      <c r="F19" s="12"/>
      <c r="G19" s="12"/>
      <c r="H19" s="12"/>
      <c r="I19" s="12"/>
      <c r="J19" s="12"/>
      <c r="K19" s="12"/>
      <c r="L19" s="12"/>
      <c r="M19" s="12"/>
      <c r="N19" s="12"/>
      <c r="O19" s="12"/>
      <c r="P19" s="12"/>
      <c r="Q19" s="12"/>
      <c r="R19" s="12"/>
      <c r="S19" s="12"/>
      <c r="T19" s="12"/>
    </row>
    <row r="20" spans="1:20" x14ac:dyDescent="0.25">
      <c r="A20" s="12"/>
      <c r="B20" s="12"/>
      <c r="C20" s="12"/>
      <c r="D20" s="12"/>
      <c r="E20" s="12"/>
      <c r="F20" s="12"/>
      <c r="G20" s="12"/>
      <c r="H20" s="12"/>
      <c r="I20" s="12"/>
      <c r="J20" s="12"/>
      <c r="K20" s="12"/>
      <c r="L20" s="12"/>
      <c r="M20" s="12"/>
      <c r="N20" s="12"/>
      <c r="O20" s="12"/>
      <c r="P20" s="12"/>
      <c r="Q20" s="12"/>
      <c r="R20" s="12"/>
      <c r="S20" s="12"/>
      <c r="T20" s="12"/>
    </row>
    <row r="21" spans="1:20" x14ac:dyDescent="0.25">
      <c r="A21" s="12"/>
      <c r="B21" s="12"/>
      <c r="C21" s="12"/>
      <c r="D21" s="12"/>
      <c r="E21" s="12"/>
      <c r="F21" s="12"/>
      <c r="G21" s="12"/>
      <c r="H21" s="12"/>
      <c r="I21" s="12"/>
      <c r="J21" s="12"/>
      <c r="K21" s="12"/>
      <c r="L21" s="12"/>
      <c r="M21" s="12"/>
      <c r="N21" s="12"/>
      <c r="O21" s="12"/>
      <c r="P21" s="12"/>
      <c r="Q21" s="12"/>
      <c r="R21" s="12"/>
      <c r="S21" s="12"/>
      <c r="T21" s="12"/>
    </row>
    <row r="22" spans="1:20" x14ac:dyDescent="0.25">
      <c r="A22" s="12"/>
      <c r="B22" s="12"/>
      <c r="C22" s="12"/>
      <c r="D22" s="12"/>
      <c r="E22" s="12"/>
      <c r="F22" s="12"/>
      <c r="G22" s="12"/>
      <c r="H22" s="12"/>
      <c r="I22" s="12"/>
      <c r="J22" s="12"/>
      <c r="K22" s="12"/>
      <c r="L22" s="12"/>
      <c r="M22" s="12"/>
      <c r="N22" s="12"/>
      <c r="O22" s="12"/>
      <c r="P22" s="12"/>
      <c r="Q22" s="12"/>
      <c r="R22" s="12"/>
      <c r="S22" s="12"/>
      <c r="T22" s="12"/>
    </row>
    <row r="23" spans="1:20" x14ac:dyDescent="0.25">
      <c r="A23" s="12"/>
      <c r="B23" s="12"/>
      <c r="C23" s="12"/>
      <c r="D23" s="12"/>
      <c r="E23" s="12"/>
      <c r="F23" s="12"/>
      <c r="G23" s="12"/>
      <c r="H23" s="12"/>
      <c r="I23" s="12"/>
      <c r="J23" s="12"/>
      <c r="K23" s="12"/>
      <c r="L23" s="12"/>
      <c r="M23" s="12"/>
      <c r="N23" s="12"/>
      <c r="O23" s="12"/>
      <c r="P23" s="12"/>
      <c r="Q23" s="12"/>
      <c r="R23" s="12"/>
      <c r="S23" s="12"/>
      <c r="T23" s="12"/>
    </row>
    <row r="24" spans="1:20" x14ac:dyDescent="0.25">
      <c r="A24" s="12"/>
      <c r="B24" s="12"/>
      <c r="C24" s="12"/>
      <c r="D24" s="12"/>
      <c r="E24" s="12"/>
      <c r="F24" s="12"/>
      <c r="G24" s="12"/>
      <c r="H24" s="12"/>
      <c r="I24" s="12"/>
      <c r="J24" s="12"/>
      <c r="K24" s="12"/>
      <c r="L24" s="12"/>
      <c r="M24" s="12"/>
      <c r="N24" s="12"/>
      <c r="O24" s="12"/>
      <c r="P24" s="12"/>
      <c r="Q24" s="12"/>
      <c r="R24" s="12"/>
      <c r="S24" s="12"/>
      <c r="T24" s="12"/>
    </row>
    <row r="25" spans="1:20" x14ac:dyDescent="0.25">
      <c r="A25" s="12"/>
      <c r="B25" s="12"/>
      <c r="C25" s="12"/>
      <c r="D25" s="12"/>
      <c r="E25" s="12"/>
      <c r="F25" s="12"/>
      <c r="G25" s="12"/>
      <c r="H25" s="12"/>
      <c r="I25" s="12"/>
      <c r="J25" s="12"/>
      <c r="K25" s="12"/>
      <c r="L25" s="12"/>
      <c r="M25" s="12"/>
      <c r="N25" s="12"/>
      <c r="O25" s="12"/>
      <c r="P25" s="12"/>
      <c r="Q25" s="12"/>
      <c r="R25" s="12"/>
      <c r="S25" s="12"/>
      <c r="T25" s="12"/>
    </row>
    <row r="26" spans="1:20" x14ac:dyDescent="0.25">
      <c r="A26" s="12"/>
      <c r="B26" s="12"/>
      <c r="C26" s="12"/>
      <c r="D26" s="12"/>
      <c r="E26" s="12"/>
      <c r="F26" s="12"/>
      <c r="G26" s="12"/>
      <c r="H26" s="12"/>
      <c r="I26" s="12"/>
      <c r="J26" s="12"/>
      <c r="K26" s="12"/>
      <c r="L26" s="12"/>
      <c r="M26" s="12"/>
      <c r="N26" s="12"/>
      <c r="O26" s="12"/>
      <c r="P26" s="12"/>
      <c r="Q26" s="12"/>
      <c r="R26" s="12"/>
      <c r="S26" s="12"/>
      <c r="T26" s="12"/>
    </row>
    <row r="27" spans="1:20" x14ac:dyDescent="0.25">
      <c r="A27" s="12"/>
      <c r="B27" s="12"/>
      <c r="C27" s="12"/>
      <c r="D27" s="12"/>
      <c r="E27" s="12"/>
      <c r="F27" s="12"/>
      <c r="G27" s="12"/>
      <c r="H27" s="12"/>
      <c r="I27" s="12"/>
      <c r="J27" s="12"/>
      <c r="K27" s="12"/>
      <c r="L27" s="12"/>
      <c r="M27" s="12"/>
      <c r="N27" s="12"/>
      <c r="O27" s="12"/>
      <c r="P27" s="12"/>
      <c r="Q27" s="12"/>
      <c r="R27" s="12"/>
      <c r="S27" s="12"/>
      <c r="T27" s="12"/>
    </row>
    <row r="28" spans="1:20" x14ac:dyDescent="0.25">
      <c r="A28" s="12"/>
      <c r="B28" s="12"/>
      <c r="C28" s="12"/>
      <c r="D28" s="12"/>
      <c r="E28" s="12"/>
      <c r="F28" s="12"/>
      <c r="G28" s="12"/>
      <c r="H28" s="12"/>
      <c r="I28" s="12"/>
      <c r="J28" s="12"/>
      <c r="K28" s="12"/>
      <c r="L28" s="12"/>
      <c r="M28" s="12"/>
      <c r="N28" s="12"/>
      <c r="O28" s="12"/>
      <c r="P28" s="12"/>
      <c r="Q28" s="12"/>
      <c r="R28" s="12"/>
      <c r="S28" s="12"/>
      <c r="T28" s="12"/>
    </row>
    <row r="29" spans="1:20" x14ac:dyDescent="0.25">
      <c r="A29" s="12"/>
      <c r="B29" s="12"/>
      <c r="C29" s="12"/>
      <c r="D29" s="12"/>
      <c r="E29" s="12"/>
      <c r="F29" s="12"/>
      <c r="G29" s="12"/>
      <c r="H29" s="12"/>
      <c r="I29" s="12"/>
      <c r="J29" s="12"/>
      <c r="K29" s="12"/>
      <c r="L29" s="12"/>
      <c r="M29" s="12"/>
      <c r="N29" s="12"/>
      <c r="O29" s="12"/>
      <c r="P29" s="12"/>
      <c r="Q29" s="12"/>
      <c r="R29" s="12"/>
      <c r="S29" s="12"/>
      <c r="T29" s="12"/>
    </row>
    <row r="30" spans="1:20" x14ac:dyDescent="0.25">
      <c r="A30" s="12"/>
      <c r="B30" s="12"/>
      <c r="C30" s="12"/>
      <c r="D30" s="12"/>
      <c r="E30" s="12"/>
      <c r="F30" s="12"/>
      <c r="G30" s="12"/>
      <c r="H30" s="12"/>
      <c r="I30" s="12"/>
      <c r="J30" s="12"/>
      <c r="K30" s="12"/>
      <c r="L30" s="12"/>
      <c r="M30" s="12"/>
      <c r="N30" s="12"/>
      <c r="O30" s="12"/>
      <c r="P30" s="12"/>
      <c r="Q30" s="12"/>
      <c r="R30" s="12"/>
      <c r="S30" s="12"/>
      <c r="T30" s="12"/>
    </row>
    <row r="31" spans="1:20" x14ac:dyDescent="0.25">
      <c r="A31" s="12"/>
      <c r="B31" s="12"/>
      <c r="C31" s="12"/>
      <c r="D31" s="12"/>
      <c r="E31" s="12"/>
      <c r="F31" s="12"/>
      <c r="G31" s="12"/>
      <c r="H31" s="12"/>
      <c r="I31" s="12"/>
      <c r="J31" s="12"/>
      <c r="K31" s="12"/>
      <c r="L31" s="12"/>
      <c r="M31" s="12"/>
      <c r="N31" s="12"/>
      <c r="O31" s="12"/>
      <c r="P31" s="12"/>
      <c r="Q31" s="12"/>
      <c r="R31" s="12"/>
      <c r="S31" s="12"/>
      <c r="T31" s="12"/>
    </row>
    <row r="32" spans="1:20" x14ac:dyDescent="0.25">
      <c r="A32" s="12"/>
      <c r="B32" s="12"/>
      <c r="C32" s="12"/>
      <c r="D32" s="12"/>
      <c r="E32" s="12"/>
      <c r="F32" s="12"/>
      <c r="G32" s="12"/>
      <c r="H32" s="12"/>
      <c r="I32" s="12"/>
      <c r="J32" s="12"/>
      <c r="K32" s="12"/>
      <c r="L32" s="12"/>
      <c r="M32" s="12"/>
      <c r="N32" s="12"/>
      <c r="O32" s="12"/>
      <c r="P32" s="12"/>
      <c r="Q32" s="12"/>
      <c r="R32" s="12"/>
      <c r="S32" s="12"/>
      <c r="T32" s="12"/>
    </row>
    <row r="33" spans="1:20" x14ac:dyDescent="0.25">
      <c r="A33" s="12"/>
      <c r="B33" s="12"/>
      <c r="C33" s="12"/>
      <c r="D33" s="12"/>
      <c r="E33" s="12"/>
      <c r="F33" s="12"/>
      <c r="G33" s="12"/>
      <c r="H33" s="12"/>
      <c r="I33" s="12"/>
      <c r="J33" s="12"/>
      <c r="K33" s="12"/>
      <c r="L33" s="12"/>
      <c r="M33" s="12"/>
      <c r="N33" s="12"/>
      <c r="O33" s="12"/>
      <c r="P33" s="12"/>
      <c r="Q33" s="12"/>
      <c r="R33" s="12"/>
      <c r="S33" s="12"/>
      <c r="T33" s="12"/>
    </row>
    <row r="34" spans="1:20" x14ac:dyDescent="0.25">
      <c r="A34" s="12"/>
      <c r="B34" s="12"/>
      <c r="C34" s="12"/>
      <c r="D34" s="12"/>
      <c r="E34" s="12"/>
      <c r="F34" s="12"/>
      <c r="G34" s="12"/>
      <c r="H34" s="12"/>
      <c r="I34" s="12"/>
      <c r="J34" s="12"/>
      <c r="K34" s="12"/>
      <c r="L34" s="12"/>
      <c r="M34" s="12"/>
      <c r="N34" s="12"/>
      <c r="O34" s="12"/>
      <c r="P34" s="12"/>
      <c r="Q34" s="12"/>
      <c r="R34" s="12"/>
      <c r="S34" s="12"/>
      <c r="T34" s="12"/>
    </row>
    <row r="35" spans="1:20" x14ac:dyDescent="0.25">
      <c r="A35" s="12"/>
      <c r="B35" s="12"/>
      <c r="C35" s="12"/>
      <c r="D35" s="12"/>
      <c r="E35" s="12"/>
      <c r="F35" s="12"/>
      <c r="G35" s="12"/>
      <c r="H35" s="12"/>
      <c r="I35" s="12"/>
      <c r="J35" s="12"/>
      <c r="K35" s="12"/>
      <c r="L35" s="12"/>
      <c r="M35" s="12"/>
      <c r="N35" s="12"/>
      <c r="O35" s="12"/>
      <c r="P35" s="12"/>
      <c r="Q35" s="12"/>
      <c r="R35" s="12"/>
      <c r="S35" s="12"/>
      <c r="T35" s="12"/>
    </row>
    <row r="36" spans="1:20" x14ac:dyDescent="0.25">
      <c r="A36" s="12"/>
      <c r="B36" s="12"/>
      <c r="C36" s="12"/>
      <c r="D36" s="12"/>
      <c r="E36" s="12"/>
      <c r="F36" s="12"/>
      <c r="G36" s="12"/>
      <c r="H36" s="12"/>
      <c r="I36" s="12"/>
      <c r="J36" s="12"/>
      <c r="K36" s="12"/>
      <c r="L36" s="12"/>
      <c r="M36" s="12"/>
      <c r="N36" s="12"/>
      <c r="O36" s="12"/>
      <c r="P36" s="12"/>
      <c r="Q36" s="12"/>
      <c r="R36" s="12"/>
      <c r="S36" s="12"/>
      <c r="T36" s="12"/>
    </row>
    <row r="37" spans="1:20" x14ac:dyDescent="0.25">
      <c r="A37" s="12"/>
      <c r="B37" s="12"/>
      <c r="C37" s="12"/>
      <c r="D37" s="12"/>
      <c r="E37" s="12"/>
      <c r="F37" s="12"/>
      <c r="G37" s="12"/>
      <c r="H37" s="12"/>
      <c r="I37" s="12"/>
      <c r="J37" s="12"/>
      <c r="K37" s="12"/>
      <c r="L37" s="12"/>
      <c r="M37" s="12"/>
      <c r="N37" s="12"/>
      <c r="O37" s="12"/>
      <c r="P37" s="12"/>
      <c r="Q37" s="12"/>
      <c r="R37" s="12"/>
      <c r="S37" s="12"/>
      <c r="T37" s="12"/>
    </row>
    <row r="38" spans="1:20" x14ac:dyDescent="0.25">
      <c r="A38" s="12"/>
      <c r="B38" s="12"/>
      <c r="C38" s="12"/>
      <c r="D38" s="12"/>
      <c r="E38" s="12"/>
      <c r="F38" s="12"/>
      <c r="G38" s="12"/>
      <c r="H38" s="12"/>
      <c r="I38" s="12"/>
      <c r="J38" s="12"/>
      <c r="K38" s="12"/>
      <c r="L38" s="12"/>
      <c r="M38" s="12"/>
      <c r="N38" s="12"/>
      <c r="O38" s="12"/>
      <c r="P38" s="12"/>
      <c r="Q38" s="12"/>
      <c r="R38" s="12"/>
      <c r="S38" s="12"/>
      <c r="T38" s="12"/>
    </row>
    <row r="39" spans="1:20" x14ac:dyDescent="0.25">
      <c r="A39" s="12"/>
      <c r="B39" s="12"/>
      <c r="C39" s="12"/>
      <c r="D39" s="12"/>
      <c r="E39" s="12"/>
      <c r="F39" s="12"/>
      <c r="G39" s="12"/>
      <c r="H39" s="12"/>
      <c r="I39" s="12"/>
      <c r="J39" s="12"/>
      <c r="K39" s="12"/>
      <c r="L39" s="12"/>
      <c r="M39" s="12"/>
      <c r="N39" s="12"/>
      <c r="O39" s="12"/>
      <c r="P39" s="12"/>
      <c r="Q39" s="12"/>
      <c r="R39" s="12"/>
      <c r="S39" s="12"/>
      <c r="T39" s="12"/>
    </row>
    <row r="40" spans="1:20" x14ac:dyDescent="0.25">
      <c r="A40" s="12"/>
      <c r="B40" s="12"/>
      <c r="C40" s="12"/>
      <c r="D40" s="12"/>
      <c r="E40" s="12"/>
      <c r="F40" s="12"/>
      <c r="G40" s="12"/>
      <c r="H40" s="12"/>
      <c r="I40" s="12"/>
      <c r="J40" s="12"/>
      <c r="K40" s="12"/>
      <c r="L40" s="12"/>
      <c r="M40" s="12"/>
      <c r="N40" s="12"/>
      <c r="O40" s="12"/>
      <c r="P40" s="12"/>
      <c r="Q40" s="12"/>
      <c r="R40" s="12"/>
      <c r="S40" s="12"/>
      <c r="T40" s="12"/>
    </row>
    <row r="41" spans="1:20" x14ac:dyDescent="0.25">
      <c r="A41" s="12"/>
      <c r="B41" s="12"/>
      <c r="C41" s="12"/>
      <c r="D41" s="12"/>
      <c r="E41" s="12"/>
      <c r="F41" s="12"/>
      <c r="G41" s="12"/>
      <c r="H41" s="12"/>
      <c r="I41" s="12"/>
      <c r="J41" s="12"/>
      <c r="K41" s="12"/>
      <c r="L41" s="12"/>
      <c r="M41" s="12"/>
      <c r="N41" s="12"/>
      <c r="O41" s="12"/>
      <c r="P41" s="12"/>
      <c r="Q41" s="12"/>
      <c r="R41" s="12"/>
      <c r="S41" s="12"/>
      <c r="T41" s="12"/>
    </row>
    <row r="42" spans="1:20" x14ac:dyDescent="0.25">
      <c r="A42" s="12"/>
      <c r="B42" s="12"/>
      <c r="C42" s="12"/>
      <c r="D42" s="12"/>
      <c r="E42" s="12"/>
      <c r="F42" s="12"/>
      <c r="G42" s="12"/>
      <c r="H42" s="12"/>
      <c r="I42" s="12"/>
      <c r="J42" s="12"/>
      <c r="K42" s="12"/>
      <c r="L42" s="12"/>
      <c r="M42" s="12"/>
      <c r="N42" s="12"/>
      <c r="O42" s="12"/>
      <c r="P42" s="12"/>
      <c r="Q42" s="12"/>
      <c r="R42" s="12"/>
      <c r="S42" s="12"/>
      <c r="T42" s="12"/>
    </row>
    <row r="43" spans="1:20" x14ac:dyDescent="0.25">
      <c r="A43" s="12"/>
      <c r="B43" s="12"/>
      <c r="C43" s="12"/>
      <c r="D43" s="12"/>
      <c r="E43" s="12"/>
      <c r="F43" s="12"/>
      <c r="G43" s="12"/>
      <c r="H43" s="12"/>
      <c r="I43" s="12"/>
      <c r="J43" s="12"/>
      <c r="K43" s="12"/>
      <c r="L43" s="12"/>
      <c r="M43" s="12"/>
      <c r="N43" s="12"/>
      <c r="O43" s="12"/>
      <c r="P43" s="12"/>
      <c r="Q43" s="12"/>
      <c r="R43" s="12"/>
      <c r="S43" s="12"/>
      <c r="T43" s="12"/>
    </row>
    <row r="44" spans="1:20" x14ac:dyDescent="0.25">
      <c r="A44" s="12"/>
      <c r="B44" s="12"/>
      <c r="C44" s="12"/>
      <c r="D44" s="12"/>
      <c r="E44" s="12"/>
      <c r="F44" s="12"/>
      <c r="G44" s="12"/>
      <c r="H44" s="12"/>
      <c r="I44" s="12"/>
      <c r="J44" s="12"/>
      <c r="K44" s="12"/>
      <c r="L44" s="12"/>
      <c r="M44" s="12"/>
      <c r="N44" s="12"/>
      <c r="O44" s="12"/>
      <c r="P44" s="12"/>
      <c r="Q44" s="12"/>
      <c r="R44" s="12"/>
      <c r="S44" s="12"/>
      <c r="T44" s="12"/>
    </row>
    <row r="45" spans="1:20" x14ac:dyDescent="0.25">
      <c r="A45" s="12"/>
      <c r="B45" s="12"/>
      <c r="C45" s="12"/>
      <c r="D45" s="12"/>
      <c r="E45" s="12"/>
      <c r="F45" s="12"/>
      <c r="G45" s="12"/>
      <c r="H45" s="12"/>
      <c r="I45" s="12"/>
      <c r="J45" s="12"/>
      <c r="K45" s="12"/>
      <c r="L45" s="12"/>
      <c r="M45" s="12"/>
      <c r="N45" s="12"/>
      <c r="O45" s="12"/>
      <c r="P45" s="12"/>
      <c r="Q45" s="12"/>
      <c r="R45" s="12"/>
      <c r="S45" s="12"/>
      <c r="T45" s="12"/>
    </row>
    <row r="46" spans="1:20" x14ac:dyDescent="0.25">
      <c r="A46" s="12"/>
      <c r="B46" s="12"/>
      <c r="C46" s="12"/>
      <c r="D46" s="12"/>
      <c r="E46" s="12"/>
      <c r="F46" s="12"/>
      <c r="G46" s="12"/>
      <c r="H46" s="12"/>
      <c r="I46" s="12"/>
      <c r="J46" s="12"/>
      <c r="K46" s="12"/>
      <c r="L46" s="12"/>
      <c r="M46" s="12"/>
      <c r="N46" s="12"/>
      <c r="O46" s="12"/>
      <c r="P46" s="12"/>
      <c r="Q46" s="12"/>
      <c r="R46" s="12"/>
      <c r="S46" s="12"/>
      <c r="T46" s="12"/>
    </row>
    <row r="47" spans="1:20" x14ac:dyDescent="0.25">
      <c r="A47" s="12"/>
      <c r="B47" s="12"/>
      <c r="C47" s="12"/>
      <c r="D47" s="12"/>
      <c r="E47" s="12"/>
      <c r="F47" s="12"/>
      <c r="G47" s="12"/>
      <c r="H47" s="12"/>
      <c r="I47" s="12"/>
      <c r="J47" s="12"/>
      <c r="K47" s="12"/>
      <c r="L47" s="12"/>
      <c r="M47" s="12"/>
      <c r="N47" s="12"/>
      <c r="O47" s="12"/>
      <c r="P47" s="12"/>
      <c r="Q47" s="12"/>
      <c r="R47" s="12"/>
      <c r="S47" s="12"/>
      <c r="T47" s="12"/>
    </row>
    <row r="48" spans="1:20" x14ac:dyDescent="0.25">
      <c r="A48" s="12"/>
      <c r="B48" s="12"/>
      <c r="C48" s="12"/>
      <c r="D48" s="12"/>
      <c r="E48" s="12"/>
      <c r="F48" s="12"/>
      <c r="G48" s="12"/>
      <c r="H48" s="12"/>
      <c r="I48" s="12"/>
      <c r="J48" s="12"/>
      <c r="K48" s="12"/>
      <c r="L48" s="12"/>
      <c r="M48" s="12"/>
      <c r="N48" s="12"/>
      <c r="O48" s="12"/>
      <c r="P48" s="12"/>
      <c r="Q48" s="12"/>
      <c r="R48" s="12"/>
      <c r="S48" s="12"/>
      <c r="T48" s="12"/>
    </row>
    <row r="49" spans="1:20" x14ac:dyDescent="0.25">
      <c r="A49" s="12"/>
      <c r="B49" s="12"/>
      <c r="C49" s="12"/>
      <c r="D49" s="12"/>
      <c r="E49" s="12"/>
      <c r="F49" s="12"/>
      <c r="G49" s="12"/>
      <c r="H49" s="12"/>
      <c r="I49" s="12"/>
      <c r="J49" s="12"/>
      <c r="K49" s="12"/>
      <c r="L49" s="12"/>
      <c r="M49" s="12"/>
      <c r="N49" s="12"/>
      <c r="O49" s="12"/>
      <c r="P49" s="12"/>
      <c r="Q49" s="12"/>
      <c r="R49" s="12"/>
      <c r="S49" s="12"/>
      <c r="T49" s="12"/>
    </row>
    <row r="50" spans="1:20" x14ac:dyDescent="0.25">
      <c r="A50" s="12"/>
      <c r="B50" s="12"/>
      <c r="C50" s="12"/>
      <c r="D50" s="12"/>
      <c r="E50" s="12"/>
      <c r="F50" s="12"/>
      <c r="G50" s="12"/>
      <c r="H50" s="12"/>
      <c r="I50" s="12"/>
      <c r="J50" s="12"/>
      <c r="K50" s="12"/>
      <c r="L50" s="12"/>
      <c r="M50" s="12"/>
      <c r="N50" s="12"/>
      <c r="O50" s="12"/>
      <c r="P50" s="12"/>
      <c r="Q50" s="12"/>
      <c r="R50" s="12"/>
      <c r="S50" s="12"/>
      <c r="T50" s="12"/>
    </row>
    <row r="51" spans="1:20" x14ac:dyDescent="0.25">
      <c r="A51" s="12"/>
      <c r="B51" s="12"/>
      <c r="C51" s="12"/>
      <c r="D51" s="12"/>
      <c r="E51" s="12"/>
      <c r="F51" s="12"/>
      <c r="G51" s="12"/>
      <c r="H51" s="12"/>
      <c r="I51" s="12"/>
      <c r="J51" s="12"/>
      <c r="K51" s="12"/>
      <c r="L51" s="12"/>
      <c r="M51" s="12"/>
      <c r="N51" s="12"/>
      <c r="O51" s="12"/>
      <c r="P51" s="12"/>
      <c r="Q51" s="12"/>
      <c r="R51" s="12"/>
      <c r="S51" s="12"/>
      <c r="T51" s="12"/>
    </row>
    <row r="52" spans="1:20" x14ac:dyDescent="0.25">
      <c r="A52" s="12"/>
      <c r="B52" s="12"/>
      <c r="C52" s="12"/>
      <c r="D52" s="12"/>
      <c r="E52" s="12"/>
      <c r="F52" s="12"/>
      <c r="G52" s="12"/>
      <c r="H52" s="12"/>
      <c r="I52" s="12"/>
      <c r="J52" s="12"/>
      <c r="K52" s="12"/>
      <c r="L52" s="12"/>
      <c r="M52" s="12"/>
      <c r="N52" s="12"/>
      <c r="O52" s="12"/>
      <c r="P52" s="12"/>
      <c r="Q52" s="12"/>
      <c r="R52" s="12"/>
      <c r="S52" s="12"/>
      <c r="T52" s="12"/>
    </row>
    <row r="53" spans="1:20" x14ac:dyDescent="0.25">
      <c r="A53" s="12"/>
      <c r="B53" s="12"/>
      <c r="C53" s="12"/>
      <c r="D53" s="12"/>
      <c r="E53" s="12"/>
      <c r="F53" s="12"/>
      <c r="G53" s="12"/>
      <c r="H53" s="12"/>
      <c r="I53" s="12"/>
      <c r="J53" s="12"/>
      <c r="K53" s="12"/>
      <c r="L53" s="12"/>
      <c r="M53" s="12"/>
      <c r="N53" s="12"/>
      <c r="O53" s="12"/>
      <c r="P53" s="12"/>
      <c r="Q53" s="12"/>
      <c r="R53" s="12"/>
      <c r="S53" s="12"/>
      <c r="T53" s="12"/>
    </row>
    <row r="54" spans="1:20" x14ac:dyDescent="0.25">
      <c r="A54" s="12"/>
      <c r="B54" s="12"/>
      <c r="C54" s="12"/>
      <c r="D54" s="12"/>
      <c r="E54" s="12"/>
      <c r="F54" s="12"/>
      <c r="G54" s="12"/>
      <c r="H54" s="12"/>
      <c r="I54" s="12"/>
      <c r="J54" s="12"/>
      <c r="K54" s="12"/>
      <c r="L54" s="12"/>
      <c r="M54" s="12"/>
      <c r="N54" s="12"/>
      <c r="O54" s="12"/>
      <c r="P54" s="12"/>
      <c r="Q54" s="12"/>
      <c r="R54" s="12"/>
      <c r="S54" s="12"/>
      <c r="T54" s="12"/>
    </row>
  </sheetData>
  <pageMargins left="0.25" right="0.25" top="0.75" bottom="0.75" header="0.3" footer="0.3"/>
  <pageSetup paperSize="9" scale="48" fitToWidth="0" fitToHeight="0" orientation="portrait" verticalDpi="30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Tables</vt:lpstr>
      <vt:lpstr>pharma_qc_dataset</vt:lpstr>
      <vt:lpstr>Dashboard_Data</vt:lpstr>
      <vt:lpstr>QC 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Suresh</dc:creator>
  <cp:lastModifiedBy>Suresh</cp:lastModifiedBy>
  <cp:lastPrinted>2026-03-20T18:20:07Z</cp:lastPrinted>
  <dcterms:created xsi:type="dcterms:W3CDTF">2026-03-07T18:53:04Z</dcterms:created>
  <dcterms:modified xsi:type="dcterms:W3CDTF">2026-03-23T18:50:36Z</dcterms:modified>
</cp:coreProperties>
</file>